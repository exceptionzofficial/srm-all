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U57" i="1"/>
  <c r="BT57"/>
  <c r="BV57" s="1"/>
  <c r="BR57"/>
  <c r="BQ57"/>
  <c r="BS57" s="1"/>
  <c r="BU49"/>
  <c r="BT49"/>
  <c r="BV49" s="1"/>
  <c r="BR49"/>
  <c r="BQ49"/>
  <c r="BS49" s="1"/>
  <c r="BT11"/>
  <c r="BS11"/>
  <c r="BL70"/>
  <c r="BG70"/>
  <c r="BB70"/>
  <c r="M70"/>
  <c r="BA70" s="1"/>
  <c r="BL69"/>
  <c r="BG69"/>
  <c r="BB69"/>
  <c r="Y69"/>
  <c r="BA69" s="1"/>
  <c r="BL68"/>
  <c r="BG68"/>
  <c r="BB68"/>
  <c r="BE68" s="1"/>
  <c r="Y68"/>
  <c r="BA68" s="1"/>
  <c r="BL67"/>
  <c r="BG67"/>
  <c r="BB67"/>
  <c r="BE67" s="1"/>
  <c r="AO67"/>
  <c r="BA67" s="1"/>
  <c r="BL66"/>
  <c r="BG66"/>
  <c r="BB66"/>
  <c r="M66"/>
  <c r="BA66" s="1"/>
  <c r="BL65"/>
  <c r="BG65"/>
  <c r="BB65"/>
  <c r="AM65"/>
  <c r="BA65" s="1"/>
  <c r="BL64"/>
  <c r="BG64"/>
  <c r="AC64"/>
  <c r="BA64" s="1"/>
  <c r="BL63"/>
  <c r="BG63"/>
  <c r="BB63"/>
  <c r="M63"/>
  <c r="BA63" s="1"/>
  <c r="BL62"/>
  <c r="BG62"/>
  <c r="BB62"/>
  <c r="M62"/>
  <c r="BA62" s="1"/>
  <c r="BL61"/>
  <c r="M61"/>
  <c r="BA61" s="1"/>
  <c r="BL60"/>
  <c r="BG60"/>
  <c r="BB60"/>
  <c r="BU60" s="1"/>
  <c r="Q60"/>
  <c r="BA60" s="1"/>
  <c r="BL59"/>
  <c r="BG59"/>
  <c r="BB59"/>
  <c r="Q59"/>
  <c r="BA59" s="1"/>
  <c r="BL58"/>
  <c r="BG58"/>
  <c r="M58"/>
  <c r="BA58" s="1"/>
  <c r="BL57"/>
  <c r="BG57"/>
  <c r="BE57"/>
  <c r="BA57"/>
  <c r="BC57" s="1"/>
  <c r="BO57" s="1"/>
  <c r="BL56"/>
  <c r="BG56"/>
  <c r="BB56"/>
  <c r="Y56"/>
  <c r="BA56" s="1"/>
  <c r="BL55"/>
  <c r="BG55"/>
  <c r="BB55"/>
  <c r="M55"/>
  <c r="BA55" s="1"/>
  <c r="BL54"/>
  <c r="BG54"/>
  <c r="BB54"/>
  <c r="AK54"/>
  <c r="BA54" s="1"/>
  <c r="BL53"/>
  <c r="BG53"/>
  <c r="AU53"/>
  <c r="BA53" s="1"/>
  <c r="BR52"/>
  <c r="BE52" s="1"/>
  <c r="BL52"/>
  <c r="BG52"/>
  <c r="BB52"/>
  <c r="BU52" s="1"/>
  <c r="S52"/>
  <c r="BA52" s="1"/>
  <c r="BL51"/>
  <c r="BG51"/>
  <c r="BB51"/>
  <c r="BU51" s="1"/>
  <c r="O51"/>
  <c r="BA51" s="1"/>
  <c r="BL50"/>
  <c r="BG50"/>
  <c r="BB50"/>
  <c r="BU50" s="1"/>
  <c r="M50"/>
  <c r="BA50" s="1"/>
  <c r="BL49"/>
  <c r="BG49"/>
  <c r="M49"/>
  <c r="BA49" s="1"/>
  <c r="BL48"/>
  <c r="BG48"/>
  <c r="M48"/>
  <c r="BA48" s="1"/>
  <c r="BR47"/>
  <c r="BE47" s="1"/>
  <c r="BL47"/>
  <c r="BG47"/>
  <c r="BB47"/>
  <c r="BU47" s="1"/>
  <c r="M47"/>
  <c r="BA47" s="1"/>
  <c r="BL46"/>
  <c r="BG46"/>
  <c r="BB46"/>
  <c r="M46"/>
  <c r="BA46" s="1"/>
  <c r="BU45"/>
  <c r="BR45"/>
  <c r="BL45"/>
  <c r="BG45"/>
  <c r="BE45"/>
  <c r="M45"/>
  <c r="BA45" s="1"/>
  <c r="BL44"/>
  <c r="BG44"/>
  <c r="Y44"/>
  <c r="BA44" s="1"/>
  <c r="BL43"/>
  <c r="BG43"/>
  <c r="BB43"/>
  <c r="M43"/>
  <c r="BA43" s="1"/>
  <c r="BL42"/>
  <c r="BG42"/>
  <c r="M42"/>
  <c r="BA42" s="1"/>
  <c r="BL41"/>
  <c r="BG41"/>
  <c r="M41"/>
  <c r="BA41" s="1"/>
  <c r="BL40"/>
  <c r="BG40"/>
  <c r="BB40"/>
  <c r="BU40" s="1"/>
  <c r="AQ40"/>
  <c r="BA40" s="1"/>
  <c r="BL39"/>
  <c r="BG39"/>
  <c r="BB39"/>
  <c r="S39"/>
  <c r="BA39" s="1"/>
  <c r="BL38"/>
  <c r="BG38"/>
  <c r="BB38"/>
  <c r="BU38" s="1"/>
  <c r="M38"/>
  <c r="BA38" s="1"/>
  <c r="BL37"/>
  <c r="BG37"/>
  <c r="BB37"/>
  <c r="AK37"/>
  <c r="BA37" s="1"/>
  <c r="BL36"/>
  <c r="BG36"/>
  <c r="BB36"/>
  <c r="BU36" s="1"/>
  <c r="BA36"/>
  <c r="BC36" s="1"/>
  <c r="BL35"/>
  <c r="BG35"/>
  <c r="BB35"/>
  <c r="BU35" s="1"/>
  <c r="AO35"/>
  <c r="BA35" s="1"/>
  <c r="BL34"/>
  <c r="BG34"/>
  <c r="BB34"/>
  <c r="BA34"/>
  <c r="BL33"/>
  <c r="BG33"/>
  <c r="M33"/>
  <c r="BA33" s="1"/>
  <c r="BL32"/>
  <c r="BG32"/>
  <c r="BB32"/>
  <c r="BR32" s="1"/>
  <c r="BE32" s="1"/>
  <c r="M32"/>
  <c r="BA32" s="1"/>
  <c r="BL31"/>
  <c r="BG31"/>
  <c r="BB31"/>
  <c r="BD31" s="1"/>
  <c r="M31"/>
  <c r="BA31" s="1"/>
  <c r="BL30"/>
  <c r="BG30"/>
  <c r="M30"/>
  <c r="BA30" s="1"/>
  <c r="BL29"/>
  <c r="BG29"/>
  <c r="M29"/>
  <c r="BA29" s="1"/>
  <c r="BL28"/>
  <c r="BG28"/>
  <c r="BB28"/>
  <c r="AQ28"/>
  <c r="BA28" s="1"/>
  <c r="BL27"/>
  <c r="BG27"/>
  <c r="AU27"/>
  <c r="BA27" s="1"/>
  <c r="BL26"/>
  <c r="M26"/>
  <c r="BA26" s="1"/>
  <c r="BL25"/>
  <c r="BG25"/>
  <c r="BB25"/>
  <c r="M25"/>
  <c r="BA25" s="1"/>
  <c r="BU24"/>
  <c r="BR24"/>
  <c r="BE24" s="1"/>
  <c r="BL24"/>
  <c r="BG24"/>
  <c r="M24"/>
  <c r="BA24" s="1"/>
  <c r="BL23"/>
  <c r="BG23"/>
  <c r="BB23"/>
  <c r="M23"/>
  <c r="BA23" s="1"/>
  <c r="BL22"/>
  <c r="BG22"/>
  <c r="BB22"/>
  <c r="M22"/>
  <c r="BA22" s="1"/>
  <c r="BL21"/>
  <c r="BG21"/>
  <c r="BB21"/>
  <c r="AC21"/>
  <c r="BA21" s="1"/>
  <c r="BL20"/>
  <c r="BG20"/>
  <c r="BB20"/>
  <c r="BU20" s="1"/>
  <c r="BA20"/>
  <c r="BL19"/>
  <c r="BG19"/>
  <c r="BB19"/>
  <c r="M19"/>
  <c r="BA19" s="1"/>
  <c r="BL18"/>
  <c r="BG18"/>
  <c r="BB18"/>
  <c r="AQ18"/>
  <c r="BA18" s="1"/>
  <c r="BL17"/>
  <c r="BG17"/>
  <c r="BB17"/>
  <c r="M17"/>
  <c r="BA17" s="1"/>
  <c r="BL16"/>
  <c r="BG16"/>
  <c r="M16"/>
  <c r="BA16" s="1"/>
  <c r="BL15"/>
  <c r="BG15"/>
  <c r="BB15"/>
  <c r="BA15"/>
  <c r="BL14"/>
  <c r="BG14"/>
  <c r="BB14"/>
  <c r="BU14" s="1"/>
  <c r="AK14"/>
  <c r="BA14" s="1"/>
  <c r="BL13"/>
  <c r="BG13"/>
  <c r="BA13"/>
  <c r="BC13" s="1"/>
  <c r="BL12"/>
  <c r="BG12"/>
  <c r="BB12"/>
  <c r="M12"/>
  <c r="BA12" s="1"/>
  <c r="BL11"/>
  <c r="BG11"/>
  <c r="BB11"/>
  <c r="BD11" s="1"/>
  <c r="BA11"/>
  <c r="BL10"/>
  <c r="BG10"/>
  <c r="M10"/>
  <c r="BA10" s="1"/>
  <c r="BL9"/>
  <c r="BG9"/>
  <c r="BB9"/>
  <c r="M9"/>
  <c r="BA9" s="1"/>
  <c r="BL8"/>
  <c r="BG8"/>
  <c r="AK8"/>
  <c r="BA8" s="1"/>
  <c r="BL7"/>
  <c r="BG7"/>
  <c r="BA7"/>
  <c r="BL6"/>
  <c r="BG6"/>
  <c r="BB6"/>
  <c r="BC6" s="1"/>
  <c r="BA6"/>
  <c r="BL5"/>
  <c r="BG5"/>
  <c r="BB5"/>
  <c r="M5"/>
  <c r="BA5" s="1"/>
  <c r="BL4"/>
  <c r="BG4"/>
  <c r="BB4"/>
  <c r="M4"/>
  <c r="BA4" s="1"/>
  <c r="BJ3"/>
  <c r="BL3" s="1"/>
  <c r="BG3"/>
  <c r="M3"/>
  <c r="BA3" s="1"/>
  <c r="BL2"/>
  <c r="BG2"/>
  <c r="M2"/>
  <c r="BA2" s="1"/>
  <c r="BD68" l="1"/>
  <c r="BC11"/>
  <c r="BP11" s="1"/>
  <c r="BD67"/>
  <c r="BC5"/>
  <c r="BE11"/>
  <c r="BV11" s="1"/>
  <c r="AY11" s="1"/>
  <c r="BC15"/>
  <c r="BC8"/>
  <c r="BC2"/>
  <c r="BC3"/>
  <c r="BM5"/>
  <c r="BF5"/>
  <c r="BH5" s="1"/>
  <c r="BN5"/>
  <c r="BO5"/>
  <c r="BP5"/>
  <c r="AY5"/>
  <c r="AX5" s="1"/>
  <c r="BO6"/>
  <c r="BP6"/>
  <c r="AY6"/>
  <c r="BM6"/>
  <c r="BF6"/>
  <c r="BH6" s="1"/>
  <c r="BN6"/>
  <c r="BC10"/>
  <c r="BC4"/>
  <c r="BC9"/>
  <c r="BN13"/>
  <c r="BO13"/>
  <c r="BP13"/>
  <c r="BM13"/>
  <c r="BM15"/>
  <c r="BN15"/>
  <c r="BO15"/>
  <c r="BP15"/>
  <c r="BC16"/>
  <c r="BC35"/>
  <c r="BM36"/>
  <c r="BN36"/>
  <c r="BO36"/>
  <c r="BP36"/>
  <c r="BC41"/>
  <c r="BC48"/>
  <c r="BC53"/>
  <c r="BC7"/>
  <c r="BO11"/>
  <c r="BC12"/>
  <c r="BC14"/>
  <c r="BR14"/>
  <c r="BE14" s="1"/>
  <c r="BC19"/>
  <c r="BC22"/>
  <c r="BC24"/>
  <c r="BC27"/>
  <c r="BC42"/>
  <c r="BC47"/>
  <c r="BC49"/>
  <c r="BC50"/>
  <c r="BC52"/>
  <c r="BC55"/>
  <c r="BC56"/>
  <c r="BC64"/>
  <c r="BC68"/>
  <c r="BN11"/>
  <c r="BC28"/>
  <c r="BC29"/>
  <c r="BC43"/>
  <c r="BC44"/>
  <c r="BC58"/>
  <c r="BC67"/>
  <c r="BF11"/>
  <c r="BH11" s="1"/>
  <c r="BM11"/>
  <c r="BC70"/>
  <c r="BU15"/>
  <c r="BR15"/>
  <c r="BE15" s="1"/>
  <c r="BC25"/>
  <c r="BC26"/>
  <c r="BC30"/>
  <c r="BC33"/>
  <c r="BC45"/>
  <c r="BC61"/>
  <c r="BC23"/>
  <c r="BU32"/>
  <c r="BR35"/>
  <c r="BE35" s="1"/>
  <c r="BC38"/>
  <c r="BC40"/>
  <c r="BR40"/>
  <c r="BE40" s="1"/>
  <c r="BN57"/>
  <c r="BC59"/>
  <c r="BR70"/>
  <c r="BC17"/>
  <c r="BC20"/>
  <c r="BR20"/>
  <c r="BE20" s="1"/>
  <c r="BR50"/>
  <c r="BF57"/>
  <c r="BH57" s="1"/>
  <c r="BM57"/>
  <c r="BC60"/>
  <c r="BR60"/>
  <c r="BE60" s="1"/>
  <c r="BC62"/>
  <c r="BC65"/>
  <c r="BC69"/>
  <c r="BU70"/>
  <c r="BC18"/>
  <c r="BC21"/>
  <c r="BC31"/>
  <c r="BR36"/>
  <c r="BE36" s="1"/>
  <c r="BR38"/>
  <c r="BC46"/>
  <c r="BC51"/>
  <c r="BR51"/>
  <c r="BE51" s="1"/>
  <c r="BC54"/>
  <c r="AY57"/>
  <c r="AX57" s="1"/>
  <c r="BP57"/>
  <c r="BC63"/>
  <c r="BC66"/>
  <c r="BC32"/>
  <c r="BC34"/>
  <c r="BC37"/>
  <c r="BC39"/>
  <c r="AZ11" l="1"/>
  <c r="AX11"/>
  <c r="BM51"/>
  <c r="BN51"/>
  <c r="BO51"/>
  <c r="BP51"/>
  <c r="BN25"/>
  <c r="BO25"/>
  <c r="BP25"/>
  <c r="BM25"/>
  <c r="BN67"/>
  <c r="BO67"/>
  <c r="BP67"/>
  <c r="BM67"/>
  <c r="BF67"/>
  <c r="BH67" s="1"/>
  <c r="BN44"/>
  <c r="BO44"/>
  <c r="BP44"/>
  <c r="BM44"/>
  <c r="BN29"/>
  <c r="BO29"/>
  <c r="BP29"/>
  <c r="BM29"/>
  <c r="BN52"/>
  <c r="BO52"/>
  <c r="BP52"/>
  <c r="BM52"/>
  <c r="BP49"/>
  <c r="BM49"/>
  <c r="BF49"/>
  <c r="BH49" s="1"/>
  <c r="AY49"/>
  <c r="BN49"/>
  <c r="BO49"/>
  <c r="BM24"/>
  <c r="BN24"/>
  <c r="BO24"/>
  <c r="BP24"/>
  <c r="BN19"/>
  <c r="BO19"/>
  <c r="BP19"/>
  <c r="BM19"/>
  <c r="BP48"/>
  <c r="BM48"/>
  <c r="BN48"/>
  <c r="BO48"/>
  <c r="BO16"/>
  <c r="BP16"/>
  <c r="BM16"/>
  <c r="BN16"/>
  <c r="BQ15"/>
  <c r="BT15"/>
  <c r="BV15" s="1"/>
  <c r="AY15" s="1"/>
  <c r="BN10"/>
  <c r="BO10"/>
  <c r="BP10"/>
  <c r="BM10"/>
  <c r="BF10"/>
  <c r="BH10" s="1"/>
  <c r="BN37"/>
  <c r="BO37"/>
  <c r="BP37"/>
  <c r="BM37"/>
  <c r="BP20"/>
  <c r="BM20"/>
  <c r="BN20"/>
  <c r="BO20"/>
  <c r="BM38"/>
  <c r="BF38"/>
  <c r="BH38" s="1"/>
  <c r="BN38"/>
  <c r="BO38"/>
  <c r="BP38"/>
  <c r="BP45"/>
  <c r="BM45"/>
  <c r="BN45"/>
  <c r="BO45"/>
  <c r="BP30"/>
  <c r="BM30"/>
  <c r="BN30"/>
  <c r="BO30"/>
  <c r="BO70"/>
  <c r="BP70"/>
  <c r="BM70"/>
  <c r="BF70"/>
  <c r="BH70" s="1"/>
  <c r="BN70"/>
  <c r="BO68"/>
  <c r="BP68"/>
  <c r="BM68"/>
  <c r="BF68"/>
  <c r="BH68" s="1"/>
  <c r="BN68"/>
  <c r="BO56"/>
  <c r="BP56"/>
  <c r="BM56"/>
  <c r="BN56"/>
  <c r="BO42"/>
  <c r="BP42"/>
  <c r="BM42"/>
  <c r="BN42"/>
  <c r="BO12"/>
  <c r="BP12"/>
  <c r="BM12"/>
  <c r="BN12"/>
  <c r="BM41"/>
  <c r="BN41"/>
  <c r="BO41"/>
  <c r="BP41"/>
  <c r="BP4"/>
  <c r="AY4"/>
  <c r="BM4"/>
  <c r="BF4"/>
  <c r="BH4" s="1"/>
  <c r="BN4"/>
  <c r="BO4"/>
  <c r="BM8"/>
  <c r="BF8"/>
  <c r="BH8" s="1"/>
  <c r="BN8"/>
  <c r="BO8"/>
  <c r="BP8"/>
  <c r="AZ57"/>
  <c r="BM21"/>
  <c r="BN21"/>
  <c r="BO21"/>
  <c r="BP21"/>
  <c r="BN39"/>
  <c r="BO39"/>
  <c r="BP39"/>
  <c r="BM39"/>
  <c r="BP60"/>
  <c r="BM60"/>
  <c r="BN60"/>
  <c r="BO60"/>
  <c r="BN32"/>
  <c r="BO32"/>
  <c r="BP32"/>
  <c r="BM32"/>
  <c r="BM63"/>
  <c r="BN63"/>
  <c r="BO63"/>
  <c r="BP63"/>
  <c r="BM54"/>
  <c r="BN54"/>
  <c r="BO54"/>
  <c r="BP54"/>
  <c r="BM46"/>
  <c r="BN46"/>
  <c r="BO46"/>
  <c r="BP46"/>
  <c r="BM31"/>
  <c r="BN31"/>
  <c r="BO31"/>
  <c r="BP31"/>
  <c r="BM18"/>
  <c r="BN18"/>
  <c r="BO18"/>
  <c r="BP18"/>
  <c r="BO61"/>
  <c r="BP61"/>
  <c r="BM61"/>
  <c r="BN61"/>
  <c r="BN58"/>
  <c r="BO58"/>
  <c r="BP58"/>
  <c r="BM58"/>
  <c r="BP43"/>
  <c r="BM43"/>
  <c r="BN43"/>
  <c r="BO43"/>
  <c r="BP28"/>
  <c r="BM28"/>
  <c r="BN28"/>
  <c r="BO28"/>
  <c r="BN55"/>
  <c r="BO55"/>
  <c r="BP55"/>
  <c r="BM55"/>
  <c r="BP50"/>
  <c r="BM50"/>
  <c r="BF50"/>
  <c r="BH50" s="1"/>
  <c r="BN50"/>
  <c r="BO50"/>
  <c r="BN47"/>
  <c r="BO47"/>
  <c r="BP47"/>
  <c r="BM47"/>
  <c r="BN22"/>
  <c r="BO22"/>
  <c r="BP22"/>
  <c r="BM22"/>
  <c r="BP53"/>
  <c r="BM53"/>
  <c r="BN53"/>
  <c r="BO53"/>
  <c r="BO35"/>
  <c r="BP35"/>
  <c r="BM35"/>
  <c r="BN35"/>
  <c r="BR13"/>
  <c r="BE13" s="1"/>
  <c r="BT13"/>
  <c r="BV13" s="1"/>
  <c r="AY13" s="1"/>
  <c r="BU13"/>
  <c r="BQ13"/>
  <c r="BN9"/>
  <c r="BO9"/>
  <c r="BP9"/>
  <c r="BM9"/>
  <c r="BF9"/>
  <c r="BH9" s="1"/>
  <c r="BM3"/>
  <c r="BN3"/>
  <c r="BO3"/>
  <c r="BP3"/>
  <c r="BF3"/>
  <c r="BH3" s="1"/>
  <c r="BM66"/>
  <c r="BN66"/>
  <c r="BO66"/>
  <c r="BP66"/>
  <c r="BP65"/>
  <c r="BM65"/>
  <c r="BN65"/>
  <c r="BO65"/>
  <c r="BN34"/>
  <c r="BO34"/>
  <c r="BP34"/>
  <c r="BM34"/>
  <c r="BP69"/>
  <c r="BM69"/>
  <c r="BN69"/>
  <c r="BO69"/>
  <c r="BP62"/>
  <c r="BM62"/>
  <c r="BN62"/>
  <c r="BO62"/>
  <c r="BP17"/>
  <c r="BM17"/>
  <c r="BN17"/>
  <c r="BO17"/>
  <c r="BO59"/>
  <c r="BP59"/>
  <c r="BM59"/>
  <c r="BN59"/>
  <c r="BO40"/>
  <c r="BP40"/>
  <c r="BM40"/>
  <c r="BN40"/>
  <c r="BO23"/>
  <c r="BP23"/>
  <c r="BM23"/>
  <c r="BN23"/>
  <c r="BP33"/>
  <c r="BM33"/>
  <c r="BN33"/>
  <c r="BO33"/>
  <c r="BM26"/>
  <c r="BN26"/>
  <c r="BO26"/>
  <c r="BP26"/>
  <c r="BQ11"/>
  <c r="BR11"/>
  <c r="BU11"/>
  <c r="BO64"/>
  <c r="BP64"/>
  <c r="BM64"/>
  <c r="BN64"/>
  <c r="BO27"/>
  <c r="BP27"/>
  <c r="BM27"/>
  <c r="BN27"/>
  <c r="BO14"/>
  <c r="BP14"/>
  <c r="BM14"/>
  <c r="BN14"/>
  <c r="BM7"/>
  <c r="BF7"/>
  <c r="BH7" s="1"/>
  <c r="BN7"/>
  <c r="BO7"/>
  <c r="BP7"/>
  <c r="BQ36"/>
  <c r="BT36"/>
  <c r="BV36" s="1"/>
  <c r="AY36" s="1"/>
  <c r="AX6"/>
  <c r="AZ6"/>
  <c r="BN2"/>
  <c r="BO2"/>
  <c r="BP2"/>
  <c r="BM2"/>
  <c r="BF2"/>
  <c r="BH2" s="1"/>
  <c r="AZ5"/>
  <c r="BS36" l="1"/>
  <c r="BD36"/>
  <c r="BF36" s="1"/>
  <c r="BH36" s="1"/>
  <c r="BT62"/>
  <c r="BQ62"/>
  <c r="BU62"/>
  <c r="BR62"/>
  <c r="BE62" s="1"/>
  <c r="AX13"/>
  <c r="AZ13"/>
  <c r="BT53"/>
  <c r="BU53"/>
  <c r="BQ53"/>
  <c r="BR53"/>
  <c r="BE53" s="1"/>
  <c r="BT43"/>
  <c r="BQ43"/>
  <c r="BU43"/>
  <c r="BR43"/>
  <c r="BE43" s="1"/>
  <c r="BT68"/>
  <c r="BQ68"/>
  <c r="BS68" s="1"/>
  <c r="BR68"/>
  <c r="BU68"/>
  <c r="BT19"/>
  <c r="BQ19"/>
  <c r="BR19"/>
  <c r="BE19" s="1"/>
  <c r="BU19"/>
  <c r="BR29"/>
  <c r="BE29" s="1"/>
  <c r="BT29"/>
  <c r="BV29" s="1"/>
  <c r="AY29" s="1"/>
  <c r="BU29"/>
  <c r="BQ29"/>
  <c r="BR67"/>
  <c r="BT67"/>
  <c r="BV67" s="1"/>
  <c r="AY67" s="1"/>
  <c r="BQ67"/>
  <c r="BU67"/>
  <c r="BQ51"/>
  <c r="BT51"/>
  <c r="BV51" s="1"/>
  <c r="AY51" s="1"/>
  <c r="AX36"/>
  <c r="AZ36"/>
  <c r="BT27"/>
  <c r="BU27"/>
  <c r="BQ27"/>
  <c r="BR27"/>
  <c r="BE27" s="1"/>
  <c r="BT23"/>
  <c r="BQ23"/>
  <c r="BU23"/>
  <c r="BR23"/>
  <c r="BE23" s="1"/>
  <c r="BT59"/>
  <c r="BQ59"/>
  <c r="BU59"/>
  <c r="BR59"/>
  <c r="BE59" s="1"/>
  <c r="BT22"/>
  <c r="BQ22"/>
  <c r="BU22"/>
  <c r="BR22"/>
  <c r="BE22" s="1"/>
  <c r="BR58"/>
  <c r="BE58" s="1"/>
  <c r="BT58"/>
  <c r="BV58" s="1"/>
  <c r="AY58" s="1"/>
  <c r="BU58"/>
  <c r="BQ58"/>
  <c r="BQ18"/>
  <c r="BT18"/>
  <c r="BV18" s="1"/>
  <c r="AY18" s="1"/>
  <c r="BR18"/>
  <c r="BE18" s="1"/>
  <c r="BU18"/>
  <c r="BQ46"/>
  <c r="BT46"/>
  <c r="BV46" s="1"/>
  <c r="AY46" s="1"/>
  <c r="BR46"/>
  <c r="BE46" s="1"/>
  <c r="BU46"/>
  <c r="BQ63"/>
  <c r="BT63"/>
  <c r="BV63" s="1"/>
  <c r="AY63" s="1"/>
  <c r="BR63"/>
  <c r="BE63" s="1"/>
  <c r="BU63"/>
  <c r="BQ21"/>
  <c r="BT21"/>
  <c r="BV21" s="1"/>
  <c r="AY21" s="1"/>
  <c r="BR21"/>
  <c r="BE21" s="1"/>
  <c r="BU21"/>
  <c r="AX4"/>
  <c r="AZ4"/>
  <c r="BT42"/>
  <c r="BU42"/>
  <c r="BQ42"/>
  <c r="BR42"/>
  <c r="BE42" s="1"/>
  <c r="BT45"/>
  <c r="BV45" s="1"/>
  <c r="AY45" s="1"/>
  <c r="BQ45"/>
  <c r="BT20"/>
  <c r="BV20" s="1"/>
  <c r="AY20" s="1"/>
  <c r="BQ20"/>
  <c r="AY7"/>
  <c r="BT14"/>
  <c r="BV14" s="1"/>
  <c r="AY14" s="1"/>
  <c r="BQ14"/>
  <c r="BT33"/>
  <c r="BU33"/>
  <c r="BQ33"/>
  <c r="BR33"/>
  <c r="BE33" s="1"/>
  <c r="BT17"/>
  <c r="BQ17"/>
  <c r="BU17"/>
  <c r="BR17"/>
  <c r="BE17" s="1"/>
  <c r="BT69"/>
  <c r="BQ69"/>
  <c r="BU69"/>
  <c r="BR69"/>
  <c r="BE69" s="1"/>
  <c r="BT65"/>
  <c r="BQ65"/>
  <c r="BR65"/>
  <c r="BE65" s="1"/>
  <c r="BU65"/>
  <c r="BS13"/>
  <c r="BD13"/>
  <c r="BF13" s="1"/>
  <c r="BH13" s="1"/>
  <c r="BT28"/>
  <c r="BQ28"/>
  <c r="BR28"/>
  <c r="BE28" s="1"/>
  <c r="BU28"/>
  <c r="BT61"/>
  <c r="BU61"/>
  <c r="BQ61"/>
  <c r="BR61"/>
  <c r="BE61" s="1"/>
  <c r="BT60"/>
  <c r="BV60" s="1"/>
  <c r="AY60" s="1"/>
  <c r="BQ60"/>
  <c r="BU41"/>
  <c r="BQ41"/>
  <c r="BR41"/>
  <c r="BE41" s="1"/>
  <c r="BT41"/>
  <c r="BT12"/>
  <c r="BQ12"/>
  <c r="BR12"/>
  <c r="BE12" s="1"/>
  <c r="BU12"/>
  <c r="BT56"/>
  <c r="BQ56"/>
  <c r="BR56"/>
  <c r="BE56" s="1"/>
  <c r="BU56"/>
  <c r="BQ38"/>
  <c r="BS38" s="1"/>
  <c r="BT38"/>
  <c r="BV38" s="1"/>
  <c r="AY38" s="1"/>
  <c r="BT37"/>
  <c r="BQ37"/>
  <c r="BR37"/>
  <c r="BE37" s="1"/>
  <c r="BU37"/>
  <c r="BS15"/>
  <c r="BD15"/>
  <c r="BF15" s="1"/>
  <c r="BH15" s="1"/>
  <c r="BQ24"/>
  <c r="BT24"/>
  <c r="BV24" s="1"/>
  <c r="AY24" s="1"/>
  <c r="BT52"/>
  <c r="BV52" s="1"/>
  <c r="AY52" s="1"/>
  <c r="BQ52"/>
  <c r="BR44"/>
  <c r="BE44" s="1"/>
  <c r="BT44"/>
  <c r="BU44"/>
  <c r="BQ44"/>
  <c r="BR25"/>
  <c r="BE25" s="1"/>
  <c r="BT25"/>
  <c r="BQ25"/>
  <c r="BU25"/>
  <c r="BT64"/>
  <c r="BU64"/>
  <c r="BQ64"/>
  <c r="BR64"/>
  <c r="BE64" s="1"/>
  <c r="BU26"/>
  <c r="BQ26"/>
  <c r="BR26"/>
  <c r="BE26" s="1"/>
  <c r="BT26"/>
  <c r="BT40"/>
  <c r="BV40" s="1"/>
  <c r="AY40" s="1"/>
  <c r="BQ40"/>
  <c r="BT34"/>
  <c r="BQ34"/>
  <c r="BR34"/>
  <c r="BE34" s="1"/>
  <c r="BU34"/>
  <c r="BQ66"/>
  <c r="BT66"/>
  <c r="BR66"/>
  <c r="BE66" s="1"/>
  <c r="BU66"/>
  <c r="AY9"/>
  <c r="BT35"/>
  <c r="BV35" s="1"/>
  <c r="AY35" s="1"/>
  <c r="BQ35"/>
  <c r="BT47"/>
  <c r="BV47" s="1"/>
  <c r="AY47" s="1"/>
  <c r="BQ47"/>
  <c r="BT50"/>
  <c r="BV50" s="1"/>
  <c r="AY50" s="1"/>
  <c r="BQ50"/>
  <c r="BS50" s="1"/>
  <c r="BR55"/>
  <c r="BE55" s="1"/>
  <c r="BT55"/>
  <c r="BV55" s="1"/>
  <c r="AY55" s="1"/>
  <c r="BQ55"/>
  <c r="BU55"/>
  <c r="BQ31"/>
  <c r="BT31"/>
  <c r="BV31" s="1"/>
  <c r="AY31" s="1"/>
  <c r="BR31"/>
  <c r="BE31" s="1"/>
  <c r="BF31" s="1"/>
  <c r="BH31" s="1"/>
  <c r="BU31"/>
  <c r="BQ54"/>
  <c r="BT54"/>
  <c r="BV54" s="1"/>
  <c r="AY54" s="1"/>
  <c r="BR54"/>
  <c r="BE54" s="1"/>
  <c r="BU54"/>
  <c r="BT32"/>
  <c r="BV32" s="1"/>
  <c r="AY32" s="1"/>
  <c r="BQ32"/>
  <c r="BT39"/>
  <c r="BV39" s="1"/>
  <c r="AY39" s="1"/>
  <c r="BQ39"/>
  <c r="BU39"/>
  <c r="BR39"/>
  <c r="BE39" s="1"/>
  <c r="BT70"/>
  <c r="BV70" s="1"/>
  <c r="AY70" s="1"/>
  <c r="BQ70"/>
  <c r="BS70" s="1"/>
  <c r="BT30"/>
  <c r="BU30"/>
  <c r="BQ30"/>
  <c r="BR30"/>
  <c r="BE30" s="1"/>
  <c r="AX15"/>
  <c r="AZ15"/>
  <c r="BT16"/>
  <c r="BV16" s="1"/>
  <c r="AY16" s="1"/>
  <c r="BU16"/>
  <c r="BQ16"/>
  <c r="BR16"/>
  <c r="BE16" s="1"/>
  <c r="BT48"/>
  <c r="BV48" s="1"/>
  <c r="AY48" s="1"/>
  <c r="BU48"/>
  <c r="BQ48"/>
  <c r="BR48"/>
  <c r="BE48" s="1"/>
  <c r="AX49"/>
  <c r="AZ49"/>
  <c r="BV66" l="1"/>
  <c r="AY66" s="1"/>
  <c r="BV64"/>
  <c r="AY64" s="1"/>
  <c r="BV61"/>
  <c r="AY61" s="1"/>
  <c r="BV34"/>
  <c r="AY34" s="1"/>
  <c r="BV37"/>
  <c r="AY37" s="1"/>
  <c r="BV65"/>
  <c r="AY65" s="1"/>
  <c r="BV22"/>
  <c r="AY22" s="1"/>
  <c r="BV59"/>
  <c r="AY59" s="1"/>
  <c r="BV23"/>
  <c r="AY23" s="1"/>
  <c r="BV19"/>
  <c r="AY19" s="1"/>
  <c r="BV68"/>
  <c r="AY68" s="1"/>
  <c r="BV43"/>
  <c r="AY43" s="1"/>
  <c r="AY10"/>
  <c r="AZ10" s="1"/>
  <c r="BV26"/>
  <c r="AY26" s="1"/>
  <c r="BV41"/>
  <c r="AY41" s="1"/>
  <c r="BV42"/>
  <c r="AY42" s="1"/>
  <c r="BS48"/>
  <c r="BD48"/>
  <c r="BF48" s="1"/>
  <c r="BH48" s="1"/>
  <c r="BS16"/>
  <c r="BD16"/>
  <c r="BF16" s="1"/>
  <c r="BH16" s="1"/>
  <c r="AX32"/>
  <c r="AZ32"/>
  <c r="BS54"/>
  <c r="BD54"/>
  <c r="BF54" s="1"/>
  <c r="BH54" s="1"/>
  <c r="AX47"/>
  <c r="AZ47"/>
  <c r="AX9"/>
  <c r="AZ9"/>
  <c r="BS66"/>
  <c r="BD66"/>
  <c r="BF66" s="1"/>
  <c r="BH66" s="1"/>
  <c r="AX34"/>
  <c r="AZ34"/>
  <c r="BS64"/>
  <c r="BD64"/>
  <c r="BF64" s="1"/>
  <c r="BH64" s="1"/>
  <c r="BS25"/>
  <c r="BD25"/>
  <c r="BF25" s="1"/>
  <c r="BH25" s="1"/>
  <c r="AX52"/>
  <c r="AZ52"/>
  <c r="AX37"/>
  <c r="AZ37"/>
  <c r="BS61"/>
  <c r="BD61"/>
  <c r="BF61" s="1"/>
  <c r="BH61" s="1"/>
  <c r="AX65"/>
  <c r="AZ65"/>
  <c r="AX20"/>
  <c r="AZ20"/>
  <c r="BS42"/>
  <c r="BD42"/>
  <c r="BF42" s="1"/>
  <c r="BH42" s="1"/>
  <c r="BS21"/>
  <c r="BD21"/>
  <c r="BF21" s="1"/>
  <c r="BH21" s="1"/>
  <c r="BS63"/>
  <c r="BD63"/>
  <c r="BF63" s="1"/>
  <c r="BH63" s="1"/>
  <c r="BS46"/>
  <c r="BD46"/>
  <c r="BF46" s="1"/>
  <c r="BH46" s="1"/>
  <c r="BS18"/>
  <c r="BD18"/>
  <c r="BF18" s="1"/>
  <c r="BH18" s="1"/>
  <c r="AX22"/>
  <c r="AZ22"/>
  <c r="AX59"/>
  <c r="AZ59"/>
  <c r="AX23"/>
  <c r="AZ23"/>
  <c r="BS51"/>
  <c r="BD51"/>
  <c r="BF51" s="1"/>
  <c r="BH51" s="1"/>
  <c r="AX19"/>
  <c r="AZ19"/>
  <c r="AX68"/>
  <c r="AZ68"/>
  <c r="AX43"/>
  <c r="AZ43"/>
  <c r="BV30"/>
  <c r="AY30" s="1"/>
  <c r="BS31"/>
  <c r="AY8"/>
  <c r="BV69"/>
  <c r="AY69" s="1"/>
  <c r="BV17"/>
  <c r="AY17" s="1"/>
  <c r="BV33"/>
  <c r="AY33" s="1"/>
  <c r="BV27"/>
  <c r="AY27" s="1"/>
  <c r="BV53"/>
  <c r="AY53" s="1"/>
  <c r="AX10"/>
  <c r="BS32"/>
  <c r="BD32"/>
  <c r="BF32" s="1"/>
  <c r="BH32" s="1"/>
  <c r="AX54"/>
  <c r="AZ54"/>
  <c r="AX31"/>
  <c r="AZ31"/>
  <c r="AX55"/>
  <c r="AZ55"/>
  <c r="BS47"/>
  <c r="BD47"/>
  <c r="BF47" s="1"/>
  <c r="BH47" s="1"/>
  <c r="AX66"/>
  <c r="AZ66"/>
  <c r="BS34"/>
  <c r="BD34"/>
  <c r="BF34" s="1"/>
  <c r="BH34" s="1"/>
  <c r="AX26"/>
  <c r="AZ26"/>
  <c r="BS44"/>
  <c r="BD44"/>
  <c r="BF44" s="1"/>
  <c r="BH44" s="1"/>
  <c r="BS52"/>
  <c r="BD52"/>
  <c r="BF52" s="1"/>
  <c r="BH52" s="1"/>
  <c r="BS37"/>
  <c r="BD37"/>
  <c r="BF37" s="1"/>
  <c r="BH37" s="1"/>
  <c r="AX41"/>
  <c r="AZ41"/>
  <c r="BS65"/>
  <c r="BD65"/>
  <c r="BF65" s="1"/>
  <c r="BH65" s="1"/>
  <c r="BS69"/>
  <c r="BD69"/>
  <c r="BF69" s="1"/>
  <c r="BH69" s="1"/>
  <c r="BS17"/>
  <c r="BD17"/>
  <c r="BF17" s="1"/>
  <c r="BH17" s="1"/>
  <c r="AX7"/>
  <c r="AZ7"/>
  <c r="BS20"/>
  <c r="BD20"/>
  <c r="BF20" s="1"/>
  <c r="BH20" s="1"/>
  <c r="AX21"/>
  <c r="AZ21"/>
  <c r="AX63"/>
  <c r="AZ63"/>
  <c r="AX46"/>
  <c r="AZ46"/>
  <c r="AX18"/>
  <c r="AZ18"/>
  <c r="AX58"/>
  <c r="AZ58"/>
  <c r="BS22"/>
  <c r="BD22"/>
  <c r="BF22" s="1"/>
  <c r="BH22" s="1"/>
  <c r="BS59"/>
  <c r="BD59"/>
  <c r="BF59" s="1"/>
  <c r="BH59" s="1"/>
  <c r="BS23"/>
  <c r="BD23"/>
  <c r="BF23" s="1"/>
  <c r="BH23" s="1"/>
  <c r="AX51"/>
  <c r="AZ51"/>
  <c r="AX67"/>
  <c r="AZ67"/>
  <c r="AX29"/>
  <c r="AZ29"/>
  <c r="BS19"/>
  <c r="BD19"/>
  <c r="BF19" s="1"/>
  <c r="BH19" s="1"/>
  <c r="BS43"/>
  <c r="BD43"/>
  <c r="BF43" s="1"/>
  <c r="BH43" s="1"/>
  <c r="AX48"/>
  <c r="AZ48"/>
  <c r="AX16"/>
  <c r="AZ16"/>
  <c r="BS30"/>
  <c r="BD30"/>
  <c r="BF30" s="1"/>
  <c r="BH30" s="1"/>
  <c r="AX70"/>
  <c r="AZ70"/>
  <c r="AX39"/>
  <c r="AZ39"/>
  <c r="BS55"/>
  <c r="BD55"/>
  <c r="BF55" s="1"/>
  <c r="BH55" s="1"/>
  <c r="AX50"/>
  <c r="AZ50"/>
  <c r="AX35"/>
  <c r="AZ35"/>
  <c r="AX40"/>
  <c r="AZ40"/>
  <c r="AX64"/>
  <c r="AZ64"/>
  <c r="BS24"/>
  <c r="BD24"/>
  <c r="BF24" s="1"/>
  <c r="BH24" s="1"/>
  <c r="AX60"/>
  <c r="AZ60"/>
  <c r="AX61"/>
  <c r="AZ61"/>
  <c r="BS33"/>
  <c r="BD33"/>
  <c r="BF33" s="1"/>
  <c r="BH33" s="1"/>
  <c r="AX14"/>
  <c r="AZ14"/>
  <c r="AX45"/>
  <c r="AZ45"/>
  <c r="AX42"/>
  <c r="AZ42"/>
  <c r="BS27"/>
  <c r="BD27"/>
  <c r="BF27" s="1"/>
  <c r="BH27" s="1"/>
  <c r="BS53"/>
  <c r="BD53"/>
  <c r="BF53" s="1"/>
  <c r="BH53" s="1"/>
  <c r="BV56"/>
  <c r="AY56" s="1"/>
  <c r="BV12"/>
  <c r="AY12" s="1"/>
  <c r="BV28"/>
  <c r="AY28" s="1"/>
  <c r="BS67"/>
  <c r="BV62"/>
  <c r="AY62" s="1"/>
  <c r="BS39"/>
  <c r="BD39"/>
  <c r="BF39" s="1"/>
  <c r="BH39" s="1"/>
  <c r="BS35"/>
  <c r="BD35"/>
  <c r="BF35" s="1"/>
  <c r="BH35" s="1"/>
  <c r="BS40"/>
  <c r="BD40"/>
  <c r="BF40" s="1"/>
  <c r="BH40" s="1"/>
  <c r="BS26"/>
  <c r="BD26"/>
  <c r="BF26" s="1"/>
  <c r="BH26" s="1"/>
  <c r="AX24"/>
  <c r="AZ24"/>
  <c r="AX38"/>
  <c r="AZ38"/>
  <c r="BS56"/>
  <c r="BD56"/>
  <c r="BF56" s="1"/>
  <c r="BH56" s="1"/>
  <c r="BS12"/>
  <c r="BD12"/>
  <c r="BF12" s="1"/>
  <c r="BH12" s="1"/>
  <c r="BS41"/>
  <c r="BD41"/>
  <c r="BF41" s="1"/>
  <c r="BH41" s="1"/>
  <c r="BS60"/>
  <c r="BD60"/>
  <c r="BF60" s="1"/>
  <c r="BH60" s="1"/>
  <c r="BS28"/>
  <c r="BD28"/>
  <c r="BF28" s="1"/>
  <c r="BH28" s="1"/>
  <c r="BS14"/>
  <c r="BD14"/>
  <c r="BF14" s="1"/>
  <c r="BH14" s="1"/>
  <c r="BS45"/>
  <c r="BD45"/>
  <c r="BF45" s="1"/>
  <c r="BH45" s="1"/>
  <c r="BS58"/>
  <c r="BD58"/>
  <c r="BF58" s="1"/>
  <c r="BH58" s="1"/>
  <c r="BS29"/>
  <c r="BD29"/>
  <c r="BF29" s="1"/>
  <c r="BH29" s="1"/>
  <c r="BS62"/>
  <c r="BD62"/>
  <c r="BF62" s="1"/>
  <c r="BH62" s="1"/>
  <c r="AY2"/>
  <c r="BV25"/>
  <c r="AY25" s="1"/>
  <c r="BV44"/>
  <c r="AY44" s="1"/>
  <c r="AY3"/>
  <c r="AX3" l="1"/>
  <c r="AZ3"/>
  <c r="AX2"/>
  <c r="AZ2"/>
  <c r="AX28"/>
  <c r="AZ28"/>
  <c r="AX27"/>
  <c r="AZ27"/>
  <c r="AX8"/>
  <c r="AZ8"/>
  <c r="AX25"/>
  <c r="AZ25"/>
  <c r="AX53"/>
  <c r="AZ53"/>
  <c r="AX69"/>
  <c r="AZ69"/>
  <c r="AX44"/>
  <c r="AZ44"/>
  <c r="AX62"/>
  <c r="AZ62"/>
  <c r="AX56"/>
  <c r="AZ56"/>
  <c r="AX17"/>
  <c r="AZ17"/>
  <c r="AX30"/>
  <c r="AZ30"/>
  <c r="AX12"/>
  <c r="AZ12"/>
  <c r="AX33"/>
  <c r="AZ33"/>
</calcChain>
</file>

<file path=xl/sharedStrings.xml><?xml version="1.0" encoding="utf-8"?>
<sst xmlns="http://schemas.openxmlformats.org/spreadsheetml/2006/main" count="647" uniqueCount="205">
  <si>
    <t>UAN</t>
  </si>
  <si>
    <t>IP NUMBER</t>
  </si>
  <si>
    <t>A/c. No.</t>
  </si>
  <si>
    <t>IFSC CODE</t>
  </si>
  <si>
    <t>NAME</t>
  </si>
  <si>
    <t>F</t>
  </si>
  <si>
    <t>RKV</t>
  </si>
  <si>
    <t>TNC</t>
  </si>
  <si>
    <t>MNC</t>
  </si>
  <si>
    <t>BR</t>
  </si>
  <si>
    <t>NKL</t>
  </si>
  <si>
    <t>T1</t>
  </si>
  <si>
    <t>T2</t>
  </si>
  <si>
    <t>TP1</t>
  </si>
  <si>
    <t>TP2</t>
  </si>
  <si>
    <t>TP3</t>
  </si>
  <si>
    <t>K</t>
  </si>
  <si>
    <t>MV</t>
  </si>
  <si>
    <t>SV</t>
  </si>
  <si>
    <t>SB</t>
  </si>
  <si>
    <t>G</t>
  </si>
  <si>
    <t>S</t>
  </si>
  <si>
    <t>SLM</t>
  </si>
  <si>
    <t>B</t>
  </si>
  <si>
    <t>PERDAY SALARY</t>
  </si>
  <si>
    <t>WOR.
DAYS</t>
  </si>
  <si>
    <t>F. Salary</t>
  </si>
  <si>
    <t>Salary 
for WD</t>
  </si>
  <si>
    <t>PF</t>
  </si>
  <si>
    <t>ESI</t>
  </si>
  <si>
    <t>Gross
Salary</t>
  </si>
  <si>
    <t>Adv</t>
  </si>
  <si>
    <t>Net
Salary</t>
  </si>
  <si>
    <t>PREVIOUS
MONTH 
ADV</t>
  </si>
  <si>
    <t>ADV THIS
MONTH</t>
  </si>
  <si>
    <t>Adv.
LESS</t>
  </si>
  <si>
    <t>BAL
ADV</t>
  </si>
  <si>
    <t>Basic Pay</t>
  </si>
  <si>
    <t>HRA</t>
  </si>
  <si>
    <t>CA</t>
  </si>
  <si>
    <t>WA</t>
  </si>
  <si>
    <t>EMPLOYEE
CON</t>
  </si>
  <si>
    <t>EMPLOYER
CON</t>
  </si>
  <si>
    <t>SWG</t>
  </si>
  <si>
    <t>.S</t>
  </si>
  <si>
    <t>CASH</t>
  </si>
  <si>
    <t>DR TRINEE 17</t>
  </si>
  <si>
    <t>ASIM BHUINYA</t>
  </si>
  <si>
    <t>BICKY</t>
  </si>
  <si>
    <t>TRAINEE</t>
  </si>
  <si>
    <t>GNANASELVAM</t>
  </si>
  <si>
    <t>GNANATHAMGAM</t>
  </si>
  <si>
    <t>DR NO ACC</t>
  </si>
  <si>
    <t>Laddu Mini DR</t>
  </si>
  <si>
    <t>DR TRAINEE 17</t>
  </si>
  <si>
    <t xml:space="preserve">MONU RAMESH KUMAR </t>
  </si>
  <si>
    <t>RAJU KUMAR  new (PPM)</t>
  </si>
  <si>
    <t>DNR</t>
  </si>
  <si>
    <t>RAMU HINDI</t>
  </si>
  <si>
    <t>DR- TRAINEE</t>
  </si>
  <si>
    <t>SHITAL KUMAR</t>
  </si>
  <si>
    <t>FIRM</t>
  </si>
  <si>
    <t>A/C</t>
  </si>
  <si>
    <t>60418573313</t>
  </si>
  <si>
    <t>MAHB0001273</t>
  </si>
  <si>
    <t>ok</t>
  </si>
  <si>
    <t>SUDARSAN</t>
  </si>
  <si>
    <t>KAS</t>
  </si>
  <si>
    <t xml:space="preserve"> A/C</t>
  </si>
  <si>
    <t>110250884537</t>
  </si>
  <si>
    <t>CNRB0018829</t>
  </si>
  <si>
    <t>OK</t>
  </si>
  <si>
    <t>ABISHEK KUMAR</t>
  </si>
  <si>
    <t>102245794002</t>
  </si>
  <si>
    <t>110252589681</t>
  </si>
  <si>
    <t>CNRB0016125</t>
  </si>
  <si>
    <t>AJAY KUMAR TC1</t>
  </si>
  <si>
    <t>60417794651</t>
  </si>
  <si>
    <t>AJAYDAS</t>
  </si>
  <si>
    <t>110140512730</t>
  </si>
  <si>
    <t>AMITYADAV</t>
  </si>
  <si>
    <t>110211650742</t>
  </si>
  <si>
    <t>CNRB0019821</t>
  </si>
  <si>
    <t>ANKUSH</t>
  </si>
  <si>
    <t>ANUPAM KUMIR</t>
  </si>
  <si>
    <t>60418273784</t>
  </si>
  <si>
    <t>ARULCHINNAAMMAVASAI</t>
  </si>
  <si>
    <t>60418571940</t>
  </si>
  <si>
    <t>BARUNRAUT</t>
  </si>
  <si>
    <t>110246207573</t>
  </si>
  <si>
    <t>BIKASH KUMAR</t>
  </si>
  <si>
    <t>110229217091</t>
  </si>
  <si>
    <t>BITTU KUMAR</t>
  </si>
  <si>
    <t>379102010114818</t>
  </si>
  <si>
    <t>UBIN0537918</t>
  </si>
  <si>
    <t>BUDDHADEB JANA</t>
  </si>
  <si>
    <t>110229167222</t>
  </si>
  <si>
    <t>BUDDHADEB PRADHAN</t>
  </si>
  <si>
    <t>102251884401</t>
  </si>
  <si>
    <t>824410110013740</t>
  </si>
  <si>
    <t>BKID0008244</t>
  </si>
  <si>
    <t>CHANDAN</t>
  </si>
  <si>
    <t>60418572274</t>
  </si>
  <si>
    <t xml:space="preserve">CHANDANKUMAR </t>
  </si>
  <si>
    <t>29470100027744</t>
  </si>
  <si>
    <t>BARB0PUPRIX</t>
  </si>
  <si>
    <t>DEEPAK YADAV</t>
  </si>
  <si>
    <t>110252524995</t>
  </si>
  <si>
    <t>DHANIRAM KUMAR</t>
  </si>
  <si>
    <t>60417795123</t>
  </si>
  <si>
    <t>DINESH  RAUT</t>
  </si>
  <si>
    <t>110252136128</t>
  </si>
  <si>
    <t>GUDU KUMAR</t>
  </si>
  <si>
    <t>60432831277</t>
  </si>
  <si>
    <t>GURUPADAPADUYA</t>
  </si>
  <si>
    <t>60417857874</t>
  </si>
  <si>
    <t>KABIL</t>
  </si>
  <si>
    <t>110231419648</t>
  </si>
  <si>
    <t>KALI PRASADH</t>
  </si>
  <si>
    <t>KALIPADA KUMIR</t>
  </si>
  <si>
    <t>110252494236</t>
  </si>
  <si>
    <t>KAMALESH</t>
  </si>
  <si>
    <t>60418279083</t>
  </si>
  <si>
    <t>LAKSHMANANBHARATHIDASAN</t>
  </si>
  <si>
    <t>60418170370</t>
  </si>
  <si>
    <t>MADHANAGOPAL VENKATESAN</t>
  </si>
  <si>
    <t>110137692559</t>
  </si>
  <si>
    <t>MANISHKUMAR</t>
  </si>
  <si>
    <t>60418172196</t>
  </si>
  <si>
    <t>MUKESH</t>
  </si>
  <si>
    <t>60418581358</t>
  </si>
  <si>
    <t>MUNNA KUMAR</t>
  </si>
  <si>
    <t>60418172844</t>
  </si>
  <si>
    <t>MUTHUBHARATHIDASAN</t>
  </si>
  <si>
    <t>110252439499</t>
  </si>
  <si>
    <t>PABITRA BODAK</t>
  </si>
  <si>
    <t>60417794516</t>
  </si>
  <si>
    <t>PRADIP DAS</t>
  </si>
  <si>
    <t>110137696302</t>
  </si>
  <si>
    <t>PUNIT KUMAR</t>
  </si>
  <si>
    <t>60419685379</t>
  </si>
  <si>
    <t>RAJ KUMAR SADA</t>
  </si>
  <si>
    <t>60418573584</t>
  </si>
  <si>
    <t>RAJEEV KUMAR PAKADILAL</t>
  </si>
  <si>
    <t>110233296390</t>
  </si>
  <si>
    <t>RAJESH YADAV</t>
  </si>
  <si>
    <t>278410100021301</t>
  </si>
  <si>
    <t>RAJKUMARSIVAKUMAR</t>
  </si>
  <si>
    <t>110252505291</t>
  </si>
  <si>
    <t>RAKESH</t>
  </si>
  <si>
    <t>'60417854056</t>
  </si>
  <si>
    <t>RAM VINAI KUMAR</t>
  </si>
  <si>
    <t>60417868592</t>
  </si>
  <si>
    <t>RAMBABU</t>
  </si>
  <si>
    <t>60418283942</t>
  </si>
  <si>
    <t>RAMBALIYADAV</t>
  </si>
  <si>
    <t>60418581132</t>
  </si>
  <si>
    <t>RAMESHKUMAR CHANDERASEKARAN</t>
  </si>
  <si>
    <t>60418581686</t>
  </si>
  <si>
    <t>RAVINDRAKUMAR GK</t>
  </si>
  <si>
    <t>60418278909</t>
  </si>
  <si>
    <t>ROHITRAUT</t>
  </si>
  <si>
    <t>60418580944</t>
  </si>
  <si>
    <t>SANJEEVKUMAR MNC</t>
  </si>
  <si>
    <t>60418278477</t>
  </si>
  <si>
    <t>SANTHOSH SADA TC2</t>
  </si>
  <si>
    <t>60419815139</t>
  </si>
  <si>
    <t>nil</t>
  </si>
  <si>
    <t>SARANYA</t>
  </si>
  <si>
    <t>110251916998</t>
  </si>
  <si>
    <t>SATHYARAJ</t>
  </si>
  <si>
    <t>60434116391</t>
  </si>
  <si>
    <t>SIKANDARDAS  G NEW tnc</t>
  </si>
  <si>
    <t>60418173382</t>
  </si>
  <si>
    <t>SIVABALAN</t>
  </si>
  <si>
    <t xml:space="preserve">KAS </t>
  </si>
  <si>
    <t>60419707042</t>
  </si>
  <si>
    <t>SONU KUMAR SAH</t>
  </si>
  <si>
    <t>110137516333</t>
  </si>
  <si>
    <t>SOUMYADEEP DAS</t>
  </si>
  <si>
    <t>110229154750</t>
  </si>
  <si>
    <t>SUBHADEEP DAS</t>
  </si>
  <si>
    <t>60418580558</t>
  </si>
  <si>
    <t xml:space="preserve">SUNIL KUMAR GK RAM EKVAL SINGH tc1 </t>
  </si>
  <si>
    <t>60420448775</t>
  </si>
  <si>
    <t>SUNIL UP SV</t>
  </si>
  <si>
    <t>110139715136</t>
  </si>
  <si>
    <t>SURAJITADAK</t>
  </si>
  <si>
    <t>110253235863</t>
  </si>
  <si>
    <t>TAMILARASU</t>
  </si>
  <si>
    <t>60418273900</t>
  </si>
  <si>
    <t>VIKRAM</t>
  </si>
  <si>
    <t>110252597189</t>
  </si>
  <si>
    <t>VIPIN SAH TC1</t>
  </si>
  <si>
    <t>60417857909</t>
  </si>
  <si>
    <t>VIVEK</t>
  </si>
  <si>
    <t>DESIGNATION</t>
  </si>
  <si>
    <t>SWEET ASST</t>
  </si>
  <si>
    <t>MASTER</t>
  </si>
  <si>
    <t>SWEET MASTER</t>
  </si>
  <si>
    <t>DEPARTMENT</t>
  </si>
  <si>
    <t>BRANCHES</t>
  </si>
  <si>
    <t>PF ESI ENROLLED STATUS</t>
  </si>
  <si>
    <t>W.DAY SALARY</t>
  </si>
  <si>
    <t>Enrolled.
In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</si>
</sst>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libri"/>
      <family val="2"/>
    </font>
    <font>
      <b/>
      <sz val="11"/>
      <color rgb="FFFF0000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2" fillId="0" borderId="1" xfId="1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 applyProtection="1">
      <alignment horizontal="center" vertical="center" wrapText="1"/>
    </xf>
    <xf numFmtId="164" fontId="2" fillId="0" borderId="1" xfId="1" applyNumberFormat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165" fontId="2" fillId="0" borderId="1" xfId="1" applyNumberFormat="1" applyFont="1" applyFill="1" applyBorder="1" applyAlignment="1" applyProtection="1">
      <alignment horizontal="center"/>
    </xf>
    <xf numFmtId="165" fontId="2" fillId="0" borderId="1" xfId="1" applyNumberFormat="1" applyFont="1" applyFill="1" applyBorder="1" applyAlignment="1"/>
    <xf numFmtId="165" fontId="2" fillId="0" borderId="1" xfId="1" applyNumberFormat="1" applyFont="1" applyFill="1" applyBorder="1" applyAlignment="1" applyProtection="1">
      <alignment horizontal="center"/>
      <protection locked="0"/>
    </xf>
    <xf numFmtId="165" fontId="4" fillId="0" borderId="1" xfId="1" applyNumberFormat="1" applyFont="1" applyFill="1" applyBorder="1" applyAlignment="1" applyProtection="1">
      <alignment horizontal="center"/>
    </xf>
    <xf numFmtId="165" fontId="2" fillId="0" borderId="1" xfId="1" applyNumberFormat="1" applyFont="1" applyFill="1" applyBorder="1" applyAlignment="1" applyProtection="1">
      <protection locked="0"/>
    </xf>
    <xf numFmtId="164" fontId="2" fillId="0" borderId="1" xfId="1" applyNumberFormat="1" applyFont="1" applyFill="1" applyBorder="1" applyAlignment="1" applyProtection="1">
      <alignment horizontal="center"/>
    </xf>
    <xf numFmtId="164" fontId="2" fillId="0" borderId="5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5" fontId="2" fillId="0" borderId="5" xfId="1" applyNumberFormat="1" applyFont="1" applyFill="1" applyBorder="1" applyAlignment="1" applyProtection="1">
      <alignment horizontal="center"/>
    </xf>
    <xf numFmtId="43" fontId="2" fillId="0" borderId="1" xfId="1" applyFont="1" applyFill="1" applyBorder="1" applyAlignment="1" applyProtection="1">
      <alignment horizontal="center"/>
    </xf>
    <xf numFmtId="164" fontId="2" fillId="0" borderId="5" xfId="1" applyNumberFormat="1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wrapText="1"/>
      <protection locked="0"/>
    </xf>
    <xf numFmtId="165" fontId="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left"/>
    </xf>
    <xf numFmtId="49" fontId="2" fillId="0" borderId="1" xfId="0" quotePrefix="1" applyNumberFormat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49" fontId="2" fillId="0" borderId="1" xfId="0" quotePrefix="1" applyNumberFormat="1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3" xfId="0" applyFont="1" applyFill="1" applyBorder="1" applyAlignment="1">
      <alignment horizontal="left"/>
    </xf>
    <xf numFmtId="0" fontId="2" fillId="0" borderId="1" xfId="0" quotePrefix="1" applyFont="1" applyFill="1" applyBorder="1" applyAlignment="1" applyProtection="1">
      <alignment horizontal="center"/>
      <protection locked="0"/>
    </xf>
    <xf numFmtId="1" fontId="2" fillId="0" borderId="1" xfId="0" quotePrefix="1" applyNumberFormat="1" applyFont="1" applyFill="1" applyBorder="1" applyAlignment="1" applyProtection="1">
      <alignment horizontal="center"/>
      <protection locked="0"/>
    </xf>
    <xf numFmtId="49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1" fontId="5" fillId="0" borderId="1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70"/>
  <sheetViews>
    <sheetView tabSelected="1" workbookViewId="0">
      <selection activeCell="D1" sqref="D1"/>
    </sheetView>
  </sheetViews>
  <sheetFormatPr defaultRowHeight="15"/>
  <cols>
    <col min="1" max="1" width="3.85546875" style="25" bestFit="1" customWidth="1"/>
    <col min="2" max="2" width="16.5703125" style="25" customWidth="1"/>
    <col min="3" max="3" width="17" style="25" customWidth="1"/>
    <col min="4" max="4" width="17.28515625" style="25" customWidth="1"/>
    <col min="5" max="5" width="16.85546875" style="25" bestFit="1" customWidth="1"/>
    <col min="6" max="6" width="14.28515625" style="25" bestFit="1" customWidth="1"/>
    <col min="7" max="7" width="6.7109375" style="25" bestFit="1" customWidth="1"/>
    <col min="8" max="8" width="20.85546875" style="25" bestFit="1" customWidth="1"/>
    <col min="9" max="9" width="16.7109375" style="25" bestFit="1" customWidth="1"/>
    <col min="10" max="10" width="16.85546875" style="25" bestFit="1" customWidth="1"/>
    <col min="11" max="11" width="42.42578125" style="25" bestFit="1" customWidth="1"/>
    <col min="12" max="12" width="42.42578125" style="25" customWidth="1"/>
    <col min="13" max="13" width="5.5703125" style="25" hidden="1" customWidth="1"/>
    <col min="14" max="14" width="0" style="25" hidden="1" customWidth="1"/>
    <col min="15" max="15" width="6" style="25" hidden="1" customWidth="1"/>
    <col min="16" max="16" width="0" style="25" hidden="1" customWidth="1"/>
    <col min="17" max="17" width="5.85546875" style="25" hidden="1" customWidth="1"/>
    <col min="18" max="18" width="0" style="25" hidden="1" customWidth="1"/>
    <col min="19" max="19" width="6.28515625" style="25" hidden="1" customWidth="1"/>
    <col min="20" max="20" width="0" style="25" hidden="1" customWidth="1"/>
    <col min="21" max="21" width="4.7109375" style="25" hidden="1" customWidth="1"/>
    <col min="22" max="22" width="0" style="25" hidden="1" customWidth="1"/>
    <col min="23" max="23" width="5.7109375" style="25" hidden="1" customWidth="1"/>
    <col min="24" max="24" width="0" style="25" hidden="1" customWidth="1"/>
    <col min="25" max="25" width="4.7109375" style="25" hidden="1" customWidth="1"/>
    <col min="26" max="26" width="0" style="25" hidden="1" customWidth="1"/>
    <col min="27" max="27" width="4.42578125" style="25" hidden="1" customWidth="1"/>
    <col min="28" max="28" width="0" style="25" hidden="1" customWidth="1"/>
    <col min="29" max="29" width="5.7109375" style="25" hidden="1" customWidth="1"/>
    <col min="30" max="30" width="0" style="25" hidden="1" customWidth="1"/>
    <col min="31" max="31" width="5.7109375" style="25" hidden="1" customWidth="1"/>
    <col min="32" max="32" width="0" style="25" hidden="1" customWidth="1"/>
    <col min="33" max="33" width="5.7109375" style="25" hidden="1" customWidth="1"/>
    <col min="34" max="34" width="0" style="25" hidden="1" customWidth="1"/>
    <col min="35" max="35" width="3.140625" style="25" hidden="1" customWidth="1"/>
    <col min="36" max="36" width="0" style="25" hidden="1" customWidth="1"/>
    <col min="37" max="37" width="5" style="25" hidden="1" customWidth="1"/>
    <col min="38" max="38" width="0" style="25" hidden="1" customWidth="1"/>
    <col min="39" max="39" width="4.7109375" style="25" hidden="1" customWidth="1"/>
    <col min="40" max="40" width="0" style="25" hidden="1" customWidth="1"/>
    <col min="41" max="41" width="4.7109375" style="25" hidden="1" customWidth="1"/>
    <col min="42" max="42" width="0" style="25" hidden="1" customWidth="1"/>
    <col min="43" max="43" width="4.7109375" style="25" hidden="1" customWidth="1"/>
    <col min="44" max="44" width="0" style="25" hidden="1" customWidth="1"/>
    <col min="45" max="45" width="2.85546875" style="25" hidden="1" customWidth="1"/>
    <col min="46" max="46" width="0" style="25" hidden="1" customWidth="1"/>
    <col min="47" max="47" width="6.42578125" style="25" hidden="1" customWidth="1"/>
    <col min="48" max="48" width="0" style="25" hidden="1" customWidth="1"/>
    <col min="49" max="49" width="3.140625" style="25" hidden="1" customWidth="1"/>
    <col min="50" max="50" width="5.42578125" style="25" hidden="1" customWidth="1"/>
    <col min="51" max="51" width="0" style="25" hidden="1" customWidth="1"/>
    <col min="52" max="52" width="9" style="25" hidden="1" customWidth="1"/>
    <col min="53" max="53" width="7" style="25" bestFit="1" customWidth="1"/>
    <col min="54" max="55" width="9" style="25" bestFit="1" customWidth="1"/>
    <col min="56" max="56" width="7.7109375" style="25" bestFit="1" customWidth="1"/>
    <col min="57" max="57" width="6" style="25" bestFit="1" customWidth="1"/>
    <col min="58" max="60" width="9" style="25" bestFit="1" customWidth="1"/>
    <col min="61" max="61" width="10.7109375" style="25" bestFit="1" customWidth="1"/>
    <col min="62" max="63" width="9" style="25" bestFit="1" customWidth="1"/>
    <col min="64" max="64" width="10.7109375" style="25" bestFit="1" customWidth="1"/>
    <col min="65" max="66" width="9" style="25" bestFit="1" customWidth="1"/>
    <col min="67" max="69" width="7.7109375" style="25" bestFit="1" customWidth="1"/>
    <col min="70" max="70" width="6" style="25" bestFit="1" customWidth="1"/>
    <col min="71" max="71" width="8.28515625" style="25" bestFit="1" customWidth="1"/>
    <col min="72" max="72" width="7.7109375" style="25" bestFit="1" customWidth="1"/>
    <col min="73" max="73" width="6" style="25" bestFit="1" customWidth="1"/>
    <col min="74" max="74" width="8.28515625" style="25" bestFit="1" customWidth="1"/>
    <col min="75" max="16384" width="9.140625" style="25"/>
  </cols>
  <sheetData>
    <row r="1" spans="1:74" ht="71.25">
      <c r="A1" s="22"/>
      <c r="B1" s="22" t="s">
        <v>200</v>
      </c>
      <c r="C1" s="22" t="s">
        <v>201</v>
      </c>
      <c r="D1" s="22" t="s">
        <v>204</v>
      </c>
      <c r="E1" s="22" t="s">
        <v>0</v>
      </c>
      <c r="F1" s="22" t="s">
        <v>1</v>
      </c>
      <c r="G1" s="23"/>
      <c r="H1" s="22" t="s">
        <v>2</v>
      </c>
      <c r="I1" s="22" t="s">
        <v>3</v>
      </c>
      <c r="J1" s="22" t="s">
        <v>202</v>
      </c>
      <c r="K1" s="22" t="s">
        <v>4</v>
      </c>
      <c r="L1" s="22" t="s">
        <v>196</v>
      </c>
      <c r="M1" s="1" t="s">
        <v>5</v>
      </c>
      <c r="N1" s="2"/>
      <c r="O1" s="3" t="s">
        <v>6</v>
      </c>
      <c r="P1" s="2"/>
      <c r="Q1" s="3" t="s">
        <v>7</v>
      </c>
      <c r="R1" s="2"/>
      <c r="S1" s="3" t="s">
        <v>8</v>
      </c>
      <c r="T1" s="2"/>
      <c r="U1" s="3" t="s">
        <v>9</v>
      </c>
      <c r="V1" s="2"/>
      <c r="W1" s="3" t="s">
        <v>10</v>
      </c>
      <c r="X1" s="2"/>
      <c r="Y1" s="3" t="s">
        <v>11</v>
      </c>
      <c r="Z1" s="2"/>
      <c r="AA1" s="3" t="s">
        <v>12</v>
      </c>
      <c r="AB1" s="3"/>
      <c r="AC1" s="3" t="s">
        <v>13</v>
      </c>
      <c r="AD1" s="3"/>
      <c r="AE1" s="3" t="s">
        <v>14</v>
      </c>
      <c r="AF1" s="2"/>
      <c r="AG1" s="3" t="s">
        <v>15</v>
      </c>
      <c r="AH1" s="2"/>
      <c r="AI1" s="3" t="s">
        <v>16</v>
      </c>
      <c r="AJ1" s="2"/>
      <c r="AK1" s="3" t="s">
        <v>17</v>
      </c>
      <c r="AL1" s="2"/>
      <c r="AM1" s="3" t="s">
        <v>18</v>
      </c>
      <c r="AN1" s="2"/>
      <c r="AO1" s="3" t="s">
        <v>19</v>
      </c>
      <c r="AP1" s="2"/>
      <c r="AQ1" s="3" t="s">
        <v>20</v>
      </c>
      <c r="AR1" s="2"/>
      <c r="AS1" s="3" t="s">
        <v>21</v>
      </c>
      <c r="AT1" s="2"/>
      <c r="AU1" s="2" t="s">
        <v>22</v>
      </c>
      <c r="AV1" s="2"/>
      <c r="AW1" s="3" t="s">
        <v>23</v>
      </c>
      <c r="AX1" s="2"/>
      <c r="AY1" s="3" t="s">
        <v>24</v>
      </c>
      <c r="AZ1" s="3" t="s">
        <v>203</v>
      </c>
      <c r="BA1" s="3" t="s">
        <v>25</v>
      </c>
      <c r="BB1" s="24" t="s">
        <v>26</v>
      </c>
      <c r="BC1" s="4" t="s">
        <v>27</v>
      </c>
      <c r="BD1" s="4" t="s">
        <v>28</v>
      </c>
      <c r="BE1" s="4" t="s">
        <v>29</v>
      </c>
      <c r="BF1" s="4" t="s">
        <v>30</v>
      </c>
      <c r="BG1" s="24" t="s">
        <v>31</v>
      </c>
      <c r="BH1" s="4" t="s">
        <v>32</v>
      </c>
      <c r="BI1" s="4" t="s">
        <v>33</v>
      </c>
      <c r="BJ1" s="4" t="s">
        <v>34</v>
      </c>
      <c r="BK1" s="4" t="s">
        <v>35</v>
      </c>
      <c r="BL1" s="4" t="s">
        <v>36</v>
      </c>
      <c r="BM1" s="4" t="s">
        <v>37</v>
      </c>
      <c r="BN1" s="4" t="s">
        <v>38</v>
      </c>
      <c r="BO1" s="4" t="s">
        <v>39</v>
      </c>
      <c r="BP1" s="4" t="s">
        <v>40</v>
      </c>
      <c r="BQ1" s="4" t="s">
        <v>28</v>
      </c>
      <c r="BR1" s="4" t="s">
        <v>29</v>
      </c>
      <c r="BS1" s="4" t="s">
        <v>41</v>
      </c>
      <c r="BT1" s="4" t="s">
        <v>28</v>
      </c>
      <c r="BU1" s="4" t="s">
        <v>29</v>
      </c>
      <c r="BV1" s="4" t="s">
        <v>42</v>
      </c>
    </row>
    <row r="2" spans="1:74">
      <c r="A2" s="26">
        <v>1</v>
      </c>
      <c r="B2" s="26" t="s">
        <v>43</v>
      </c>
      <c r="C2" s="21" t="s">
        <v>44</v>
      </c>
      <c r="D2" s="26"/>
      <c r="E2" s="27"/>
      <c r="F2" s="27"/>
      <c r="G2" s="26" t="s">
        <v>45</v>
      </c>
      <c r="H2" s="26"/>
      <c r="I2" s="26"/>
      <c r="J2" s="26" t="s">
        <v>46</v>
      </c>
      <c r="K2" s="28" t="s">
        <v>47</v>
      </c>
      <c r="L2" s="28" t="s">
        <v>197</v>
      </c>
      <c r="M2" s="5">
        <f>30+1-1</f>
        <v>30</v>
      </c>
      <c r="N2" s="6"/>
      <c r="O2" s="7"/>
      <c r="P2" s="6"/>
      <c r="Q2" s="7"/>
      <c r="R2" s="6"/>
      <c r="S2" s="7"/>
      <c r="T2" s="6"/>
      <c r="U2" s="7"/>
      <c r="V2" s="6"/>
      <c r="W2" s="7"/>
      <c r="X2" s="6"/>
      <c r="Y2" s="7"/>
      <c r="Z2" s="6"/>
      <c r="AA2" s="7"/>
      <c r="AB2" s="6"/>
      <c r="AC2" s="7"/>
      <c r="AD2" s="6"/>
      <c r="AE2" s="7"/>
      <c r="AF2" s="6"/>
      <c r="AG2" s="7"/>
      <c r="AH2" s="6"/>
      <c r="AI2" s="7"/>
      <c r="AJ2" s="6"/>
      <c r="AK2" s="7"/>
      <c r="AL2" s="6"/>
      <c r="AM2" s="7"/>
      <c r="AN2" s="6"/>
      <c r="AO2" s="7"/>
      <c r="AP2" s="6"/>
      <c r="AQ2" s="7"/>
      <c r="AR2" s="6"/>
      <c r="AS2" s="7"/>
      <c r="AT2" s="6"/>
      <c r="AU2" s="6"/>
      <c r="AV2" s="8"/>
      <c r="AW2" s="7"/>
      <c r="AX2" s="8">
        <f t="shared" ref="AX2:AX38" si="0">AY2*AW2</f>
        <v>0</v>
      </c>
      <c r="AY2" s="7">
        <f t="shared" ref="AY2:AY11" si="1">SUM(BC2+BV2)/BA2</f>
        <v>400</v>
      </c>
      <c r="AZ2" s="7">
        <f>BA2*AY2</f>
        <v>12000</v>
      </c>
      <c r="BA2" s="10">
        <f t="shared" ref="BA2:BA65" si="2">SUM(M2+O2+Q2+S2+U2+W2+Y2+AA2+AC2+AE2+AG2+AI2+AK2+AM2+AO2+AQ2+AS2+AU2+AW2)</f>
        <v>30</v>
      </c>
      <c r="BB2" s="11">
        <v>12000</v>
      </c>
      <c r="BC2" s="10">
        <f t="shared" ref="BC2:BC3" si="3">SUM(BB2/30*BA2)</f>
        <v>12000</v>
      </c>
      <c r="BD2" s="10"/>
      <c r="BE2" s="10"/>
      <c r="BF2" s="10">
        <f t="shared" ref="BF2" si="4">SUM(BC2-BD2-BE2)</f>
        <v>12000</v>
      </c>
      <c r="BG2" s="12">
        <f t="shared" ref="BG2:BG25" si="5">BK2</f>
        <v>0</v>
      </c>
      <c r="BH2" s="13">
        <f t="shared" ref="BH2:BH23" si="6">SUM(BF2-BG2)</f>
        <v>12000</v>
      </c>
      <c r="BI2" s="9">
        <v>0</v>
      </c>
      <c r="BJ2" s="7"/>
      <c r="BK2" s="7"/>
      <c r="BL2" s="10">
        <f t="shared" ref="BL2:BL4" si="7">SUM(BI2+BJ2-BK2)</f>
        <v>0</v>
      </c>
      <c r="BM2" s="10">
        <f t="shared" ref="BM2:BM65" si="8">IF(BC2*70%&lt;15000,BC2*70%,15000)</f>
        <v>8400</v>
      </c>
      <c r="BN2" s="10">
        <f t="shared" ref="BN2:BN65" si="9">BC2*15%</f>
        <v>1800</v>
      </c>
      <c r="BO2" s="10">
        <f t="shared" ref="BO2:BO65" si="10">BC2*10%</f>
        <v>1200</v>
      </c>
      <c r="BP2" s="10">
        <f t="shared" ref="BP2:BP65" si="11">BC2*5%</f>
        <v>600</v>
      </c>
      <c r="BQ2" s="10"/>
      <c r="BR2" s="10"/>
      <c r="BS2" s="10"/>
      <c r="BT2" s="10"/>
      <c r="BU2" s="10"/>
      <c r="BV2" s="10"/>
    </row>
    <row r="3" spans="1:74">
      <c r="A3" s="21">
        <v>2</v>
      </c>
      <c r="B3" s="21" t="s">
        <v>43</v>
      </c>
      <c r="C3" s="21" t="s">
        <v>44</v>
      </c>
      <c r="D3" s="21"/>
      <c r="E3" s="27"/>
      <c r="F3" s="27"/>
      <c r="G3" s="27" t="s">
        <v>45</v>
      </c>
      <c r="H3" s="29"/>
      <c r="I3" s="21"/>
      <c r="J3" s="21" t="s">
        <v>57</v>
      </c>
      <c r="K3" s="28" t="s">
        <v>48</v>
      </c>
      <c r="L3" s="28" t="s">
        <v>197</v>
      </c>
      <c r="M3" s="5">
        <f>30+1</f>
        <v>31</v>
      </c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6"/>
      <c r="AV3" s="8"/>
      <c r="AW3" s="7"/>
      <c r="AX3" s="8">
        <f t="shared" si="0"/>
        <v>0</v>
      </c>
      <c r="AY3" s="7">
        <f t="shared" si="1"/>
        <v>466.66666666666669</v>
      </c>
      <c r="AZ3" s="7">
        <f>BA3*AY3</f>
        <v>14466.666666666668</v>
      </c>
      <c r="BA3" s="10">
        <f t="shared" si="2"/>
        <v>31</v>
      </c>
      <c r="BB3" s="11">
        <v>14000</v>
      </c>
      <c r="BC3" s="10">
        <f t="shared" si="3"/>
        <v>14466.666666666668</v>
      </c>
      <c r="BD3" s="10"/>
      <c r="BE3" s="10"/>
      <c r="BF3" s="10">
        <f t="shared" ref="BF3:BF20" si="12">SUM(BC3-BD3-BE3)</f>
        <v>14466.666666666668</v>
      </c>
      <c r="BG3" s="12">
        <f t="shared" si="5"/>
        <v>13500</v>
      </c>
      <c r="BH3" s="13">
        <f t="shared" si="6"/>
        <v>966.66666666666788</v>
      </c>
      <c r="BI3" s="9">
        <v>0</v>
      </c>
      <c r="BJ3" s="10">
        <f>500+5000+8000</f>
        <v>13500</v>
      </c>
      <c r="BK3" s="10">
        <v>13500</v>
      </c>
      <c r="BL3" s="10">
        <f t="shared" si="7"/>
        <v>0</v>
      </c>
      <c r="BM3" s="10">
        <f t="shared" si="8"/>
        <v>10126.666666666666</v>
      </c>
      <c r="BN3" s="10">
        <f t="shared" si="9"/>
        <v>2170</v>
      </c>
      <c r="BO3" s="10">
        <f t="shared" si="10"/>
        <v>1446.666666666667</v>
      </c>
      <c r="BP3" s="10">
        <f t="shared" si="11"/>
        <v>723.33333333333348</v>
      </c>
      <c r="BQ3" s="10"/>
      <c r="BR3" s="10"/>
      <c r="BS3" s="10"/>
      <c r="BT3" s="10"/>
      <c r="BU3" s="10"/>
      <c r="BV3" s="10"/>
    </row>
    <row r="4" spans="1:74">
      <c r="A4" s="26">
        <v>3</v>
      </c>
      <c r="B4" s="21" t="s">
        <v>43</v>
      </c>
      <c r="C4" s="21" t="s">
        <v>44</v>
      </c>
      <c r="D4" s="21"/>
      <c r="E4" s="27"/>
      <c r="F4" s="27"/>
      <c r="G4" s="27" t="s">
        <v>45</v>
      </c>
      <c r="H4" s="21"/>
      <c r="I4" s="21"/>
      <c r="J4" s="21" t="s">
        <v>49</v>
      </c>
      <c r="K4" s="28" t="s">
        <v>50</v>
      </c>
      <c r="L4" s="28" t="s">
        <v>197</v>
      </c>
      <c r="M4" s="5">
        <f>30-2+1</f>
        <v>29</v>
      </c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6"/>
      <c r="AV4" s="8"/>
      <c r="AW4" s="7"/>
      <c r="AX4" s="8">
        <f t="shared" si="0"/>
        <v>0</v>
      </c>
      <c r="AY4" s="7">
        <f t="shared" si="1"/>
        <v>383.33333333333331</v>
      </c>
      <c r="AZ4" s="7">
        <f>BA4*AY4</f>
        <v>11116.666666666666</v>
      </c>
      <c r="BA4" s="10">
        <f t="shared" si="2"/>
        <v>29</v>
      </c>
      <c r="BB4" s="14">
        <f>10000+1500</f>
        <v>11500</v>
      </c>
      <c r="BC4" s="10">
        <f t="shared" ref="BC4:BC6" si="13">SUM(BB4/30*BA4)</f>
        <v>11116.666666666666</v>
      </c>
      <c r="BD4" s="10"/>
      <c r="BE4" s="10"/>
      <c r="BF4" s="10">
        <f t="shared" si="12"/>
        <v>11116.666666666666</v>
      </c>
      <c r="BG4" s="12">
        <f t="shared" si="5"/>
        <v>0</v>
      </c>
      <c r="BH4" s="13">
        <f t="shared" si="6"/>
        <v>11116.666666666666</v>
      </c>
      <c r="BI4" s="9">
        <v>0</v>
      </c>
      <c r="BJ4" s="10"/>
      <c r="BK4" s="10"/>
      <c r="BL4" s="10">
        <f t="shared" si="7"/>
        <v>0</v>
      </c>
      <c r="BM4" s="10">
        <f t="shared" si="8"/>
        <v>7781.6666666666661</v>
      </c>
      <c r="BN4" s="10">
        <f t="shared" si="9"/>
        <v>1667.4999999999998</v>
      </c>
      <c r="BO4" s="10">
        <f t="shared" si="10"/>
        <v>1111.6666666666667</v>
      </c>
      <c r="BP4" s="10">
        <f t="shared" si="11"/>
        <v>555.83333333333337</v>
      </c>
      <c r="BQ4" s="10"/>
      <c r="BR4" s="10"/>
      <c r="BS4" s="10"/>
      <c r="BT4" s="10"/>
      <c r="BU4" s="10"/>
      <c r="BV4" s="10"/>
    </row>
    <row r="5" spans="1:74">
      <c r="A5" s="26">
        <v>4</v>
      </c>
      <c r="B5" s="21" t="s">
        <v>43</v>
      </c>
      <c r="C5" s="21" t="s">
        <v>44</v>
      </c>
      <c r="D5" s="21"/>
      <c r="E5" s="27"/>
      <c r="F5" s="27"/>
      <c r="G5" s="27" t="s">
        <v>45</v>
      </c>
      <c r="H5" s="21"/>
      <c r="I5" s="21"/>
      <c r="J5" s="21" t="s">
        <v>49</v>
      </c>
      <c r="K5" s="30" t="s">
        <v>51</v>
      </c>
      <c r="L5" s="28" t="s">
        <v>197</v>
      </c>
      <c r="M5" s="5">
        <f>30-1+1</f>
        <v>30</v>
      </c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6"/>
      <c r="AV5" s="8"/>
      <c r="AW5" s="7"/>
      <c r="AX5" s="8">
        <f t="shared" si="0"/>
        <v>0</v>
      </c>
      <c r="AY5" s="7">
        <f t="shared" si="1"/>
        <v>383.33333333333331</v>
      </c>
      <c r="AZ5" s="7">
        <f t="shared" ref="AZ5" si="14">BA5*AY5</f>
        <v>11500</v>
      </c>
      <c r="BA5" s="10">
        <f t="shared" si="2"/>
        <v>30</v>
      </c>
      <c r="BB5" s="14">
        <f>10000+1500</f>
        <v>11500</v>
      </c>
      <c r="BC5" s="10">
        <f t="shared" si="13"/>
        <v>11500</v>
      </c>
      <c r="BD5" s="10"/>
      <c r="BE5" s="10"/>
      <c r="BF5" s="10">
        <f t="shared" si="12"/>
        <v>11500</v>
      </c>
      <c r="BG5" s="12">
        <f t="shared" si="5"/>
        <v>0</v>
      </c>
      <c r="BH5" s="13">
        <f t="shared" si="6"/>
        <v>11500</v>
      </c>
      <c r="BI5" s="9">
        <v>0</v>
      </c>
      <c r="BJ5" s="10"/>
      <c r="BK5" s="10"/>
      <c r="BL5" s="10">
        <f t="shared" ref="BL5:BL11" si="15">SUM(BI5+BJ5-BK5)</f>
        <v>0</v>
      </c>
      <c r="BM5" s="10">
        <f t="shared" si="8"/>
        <v>8049.9999999999991</v>
      </c>
      <c r="BN5" s="10">
        <f t="shared" si="9"/>
        <v>1725</v>
      </c>
      <c r="BO5" s="10">
        <f t="shared" si="10"/>
        <v>1150</v>
      </c>
      <c r="BP5" s="10">
        <f t="shared" si="11"/>
        <v>575</v>
      </c>
      <c r="BQ5" s="10"/>
      <c r="BR5" s="10"/>
      <c r="BS5" s="10"/>
      <c r="BT5" s="10"/>
      <c r="BU5" s="10"/>
      <c r="BV5" s="10"/>
    </row>
    <row r="6" spans="1:74">
      <c r="A6" s="26">
        <v>5</v>
      </c>
      <c r="B6" s="21" t="s">
        <v>43</v>
      </c>
      <c r="C6" s="21" t="s">
        <v>44</v>
      </c>
      <c r="D6" s="21"/>
      <c r="E6" s="31"/>
      <c r="F6" s="27"/>
      <c r="G6" s="27" t="s">
        <v>45</v>
      </c>
      <c r="H6" s="21"/>
      <c r="I6" s="21"/>
      <c r="J6" s="21" t="s">
        <v>52</v>
      </c>
      <c r="K6" s="28" t="s">
        <v>53</v>
      </c>
      <c r="L6" s="28" t="s">
        <v>197</v>
      </c>
      <c r="M6" s="5"/>
      <c r="N6" s="6"/>
      <c r="O6" s="7"/>
      <c r="P6" s="6"/>
      <c r="Q6" s="7"/>
      <c r="R6" s="6"/>
      <c r="S6" s="7">
        <v>30</v>
      </c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>
        <v>1</v>
      </c>
      <c r="AN6" s="6"/>
      <c r="AO6" s="7"/>
      <c r="AP6" s="6"/>
      <c r="AQ6" s="7"/>
      <c r="AR6" s="6"/>
      <c r="AS6" s="7"/>
      <c r="AT6" s="6"/>
      <c r="AU6" s="6"/>
      <c r="AV6" s="8"/>
      <c r="AW6" s="7"/>
      <c r="AX6" s="8">
        <f t="shared" si="0"/>
        <v>0</v>
      </c>
      <c r="AY6" s="7">
        <f t="shared" si="1"/>
        <v>500</v>
      </c>
      <c r="AZ6" s="7">
        <f>BA6*AY6</f>
        <v>15500</v>
      </c>
      <c r="BA6" s="10">
        <f t="shared" si="2"/>
        <v>31</v>
      </c>
      <c r="BB6" s="14">
        <f>13000+2000</f>
        <v>15000</v>
      </c>
      <c r="BC6" s="10">
        <f t="shared" si="13"/>
        <v>15500</v>
      </c>
      <c r="BD6" s="10"/>
      <c r="BE6" s="10"/>
      <c r="BF6" s="10">
        <f t="shared" si="12"/>
        <v>15500</v>
      </c>
      <c r="BG6" s="12">
        <f t="shared" si="5"/>
        <v>0</v>
      </c>
      <c r="BH6" s="13">
        <f t="shared" si="6"/>
        <v>15500</v>
      </c>
      <c r="BI6" s="9">
        <v>0</v>
      </c>
      <c r="BJ6" s="10"/>
      <c r="BK6" s="10"/>
      <c r="BL6" s="10">
        <f t="shared" si="15"/>
        <v>0</v>
      </c>
      <c r="BM6" s="10">
        <f t="shared" si="8"/>
        <v>10850</v>
      </c>
      <c r="BN6" s="10">
        <f t="shared" si="9"/>
        <v>2325</v>
      </c>
      <c r="BO6" s="10">
        <f t="shared" si="10"/>
        <v>1550</v>
      </c>
      <c r="BP6" s="10">
        <f t="shared" si="11"/>
        <v>775</v>
      </c>
      <c r="BQ6" s="10"/>
      <c r="BR6" s="10"/>
      <c r="BS6" s="10"/>
      <c r="BT6" s="10"/>
      <c r="BU6" s="10"/>
      <c r="BV6" s="10"/>
    </row>
    <row r="7" spans="1:74">
      <c r="A7" s="21">
        <v>6</v>
      </c>
      <c r="B7" s="26" t="s">
        <v>43</v>
      </c>
      <c r="C7" s="26" t="s">
        <v>21</v>
      </c>
      <c r="D7" s="26"/>
      <c r="E7" s="26"/>
      <c r="F7" s="26"/>
      <c r="G7" s="26" t="s">
        <v>45</v>
      </c>
      <c r="H7" s="32"/>
      <c r="I7" s="26"/>
      <c r="J7" s="26" t="s">
        <v>54</v>
      </c>
      <c r="K7" s="28" t="s">
        <v>55</v>
      </c>
      <c r="L7" s="28" t="s">
        <v>197</v>
      </c>
      <c r="M7" s="5">
        <v>9</v>
      </c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6"/>
      <c r="AV7" s="8"/>
      <c r="AW7" s="7"/>
      <c r="AX7" s="8">
        <f t="shared" si="0"/>
        <v>0</v>
      </c>
      <c r="AY7" s="7">
        <f t="shared" si="1"/>
        <v>433.33333333333331</v>
      </c>
      <c r="AZ7" s="7">
        <f>BA7*AY7</f>
        <v>3900</v>
      </c>
      <c r="BA7" s="10">
        <f t="shared" si="2"/>
        <v>9</v>
      </c>
      <c r="BB7" s="11">
        <v>13000</v>
      </c>
      <c r="BC7" s="10">
        <f t="shared" ref="BC7:BC11" si="16">SUM(BB7/30*BA7)</f>
        <v>3900</v>
      </c>
      <c r="BD7" s="10"/>
      <c r="BE7" s="10"/>
      <c r="BF7" s="10">
        <f t="shared" si="12"/>
        <v>3900</v>
      </c>
      <c r="BG7" s="12">
        <f t="shared" si="5"/>
        <v>0</v>
      </c>
      <c r="BH7" s="13">
        <f t="shared" si="6"/>
        <v>3900</v>
      </c>
      <c r="BI7" s="9">
        <v>0</v>
      </c>
      <c r="BJ7" s="7"/>
      <c r="BK7" s="7"/>
      <c r="BL7" s="10">
        <f t="shared" si="15"/>
        <v>0</v>
      </c>
      <c r="BM7" s="10">
        <f t="shared" si="8"/>
        <v>2730</v>
      </c>
      <c r="BN7" s="10">
        <f t="shared" si="9"/>
        <v>585</v>
      </c>
      <c r="BO7" s="10">
        <f t="shared" si="10"/>
        <v>390</v>
      </c>
      <c r="BP7" s="10">
        <f t="shared" si="11"/>
        <v>195</v>
      </c>
      <c r="BQ7" s="10"/>
      <c r="BR7" s="10"/>
      <c r="BS7" s="10"/>
      <c r="BT7" s="10"/>
      <c r="BU7" s="10"/>
      <c r="BV7" s="10"/>
    </row>
    <row r="8" spans="1:74">
      <c r="A8" s="26">
        <v>7</v>
      </c>
      <c r="B8" s="21" t="s">
        <v>43</v>
      </c>
      <c r="C8" s="21" t="s">
        <v>17</v>
      </c>
      <c r="D8" s="21"/>
      <c r="E8" s="27"/>
      <c r="F8" s="27"/>
      <c r="G8" s="27" t="s">
        <v>45</v>
      </c>
      <c r="H8" s="32"/>
      <c r="I8" s="21"/>
      <c r="J8" s="21" t="s">
        <v>49</v>
      </c>
      <c r="K8" s="33" t="s">
        <v>56</v>
      </c>
      <c r="L8" s="28" t="s">
        <v>197</v>
      </c>
      <c r="M8" s="15"/>
      <c r="N8" s="6"/>
      <c r="O8" s="10"/>
      <c r="P8" s="6"/>
      <c r="Q8" s="10"/>
      <c r="R8" s="6"/>
      <c r="S8" s="10"/>
      <c r="T8" s="6"/>
      <c r="U8" s="10"/>
      <c r="V8" s="6"/>
      <c r="W8" s="10"/>
      <c r="X8" s="6"/>
      <c r="Y8" s="10"/>
      <c r="Z8" s="6"/>
      <c r="AA8" s="10"/>
      <c r="AB8" s="6"/>
      <c r="AC8" s="10"/>
      <c r="AD8" s="6"/>
      <c r="AE8" s="10"/>
      <c r="AF8" s="6"/>
      <c r="AG8" s="10"/>
      <c r="AH8" s="6"/>
      <c r="AI8" s="10"/>
      <c r="AJ8" s="6"/>
      <c r="AK8" s="10">
        <f>30+1-1</f>
        <v>30</v>
      </c>
      <c r="AL8" s="6"/>
      <c r="AM8" s="10"/>
      <c r="AN8" s="6"/>
      <c r="AO8" s="10"/>
      <c r="AP8" s="6"/>
      <c r="AQ8" s="10"/>
      <c r="AR8" s="6"/>
      <c r="AS8" s="10"/>
      <c r="AT8" s="6"/>
      <c r="AU8" s="6"/>
      <c r="AV8" s="8"/>
      <c r="AW8" s="10"/>
      <c r="AX8" s="8">
        <f t="shared" si="0"/>
        <v>0</v>
      </c>
      <c r="AY8" s="7">
        <f t="shared" si="1"/>
        <v>416.66666666666669</v>
      </c>
      <c r="AZ8" s="7">
        <f t="shared" ref="AZ8:AZ9" si="17">BA8*AY8</f>
        <v>12500</v>
      </c>
      <c r="BA8" s="10">
        <f t="shared" si="2"/>
        <v>30</v>
      </c>
      <c r="BB8" s="14">
        <v>12500</v>
      </c>
      <c r="BC8" s="10">
        <f t="shared" si="16"/>
        <v>12500</v>
      </c>
      <c r="BD8" s="10"/>
      <c r="BE8" s="10"/>
      <c r="BF8" s="10">
        <f t="shared" si="12"/>
        <v>12500</v>
      </c>
      <c r="BG8" s="12">
        <f t="shared" si="5"/>
        <v>0</v>
      </c>
      <c r="BH8" s="13">
        <f t="shared" si="6"/>
        <v>12500</v>
      </c>
      <c r="BI8" s="9">
        <v>0</v>
      </c>
      <c r="BJ8" s="10"/>
      <c r="BK8" s="10"/>
      <c r="BL8" s="10">
        <f t="shared" si="15"/>
        <v>0</v>
      </c>
      <c r="BM8" s="10">
        <f t="shared" si="8"/>
        <v>8750</v>
      </c>
      <c r="BN8" s="10">
        <f t="shared" si="9"/>
        <v>1875</v>
      </c>
      <c r="BO8" s="10">
        <f t="shared" si="10"/>
        <v>1250</v>
      </c>
      <c r="BP8" s="10">
        <f t="shared" si="11"/>
        <v>625</v>
      </c>
      <c r="BQ8" s="10"/>
      <c r="BR8" s="10"/>
      <c r="BS8" s="10"/>
      <c r="BT8" s="10"/>
      <c r="BU8" s="10"/>
      <c r="BV8" s="10"/>
    </row>
    <row r="9" spans="1:74">
      <c r="A9" s="26">
        <v>8</v>
      </c>
      <c r="B9" s="26" t="s">
        <v>43</v>
      </c>
      <c r="C9" s="21" t="s">
        <v>44</v>
      </c>
      <c r="D9" s="26"/>
      <c r="E9" s="31"/>
      <c r="F9" s="31"/>
      <c r="G9" s="26" t="s">
        <v>45</v>
      </c>
      <c r="H9" s="32"/>
      <c r="I9" s="26"/>
      <c r="J9" s="26" t="s">
        <v>57</v>
      </c>
      <c r="K9" s="28" t="s">
        <v>58</v>
      </c>
      <c r="L9" s="28" t="s">
        <v>197</v>
      </c>
      <c r="M9" s="5">
        <f>30+1</f>
        <v>31</v>
      </c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6"/>
      <c r="AV9" s="8"/>
      <c r="AW9" s="7"/>
      <c r="AX9" s="8">
        <f t="shared" si="0"/>
        <v>0</v>
      </c>
      <c r="AY9" s="7">
        <f t="shared" si="1"/>
        <v>833.33333333333337</v>
      </c>
      <c r="AZ9" s="7">
        <f t="shared" si="17"/>
        <v>25833.333333333336</v>
      </c>
      <c r="BA9" s="10">
        <f t="shared" si="2"/>
        <v>31</v>
      </c>
      <c r="BB9" s="11">
        <f>15000+10000</f>
        <v>25000</v>
      </c>
      <c r="BC9" s="10">
        <f t="shared" si="16"/>
        <v>25833.333333333336</v>
      </c>
      <c r="BD9" s="10"/>
      <c r="BE9" s="10"/>
      <c r="BF9" s="10">
        <f t="shared" si="12"/>
        <v>25833.333333333336</v>
      </c>
      <c r="BG9" s="12">
        <f t="shared" si="5"/>
        <v>0</v>
      </c>
      <c r="BH9" s="13">
        <f t="shared" si="6"/>
        <v>25833.333333333336</v>
      </c>
      <c r="BI9" s="9">
        <v>0</v>
      </c>
      <c r="BJ9" s="10"/>
      <c r="BK9" s="10"/>
      <c r="BL9" s="10">
        <f t="shared" si="15"/>
        <v>0</v>
      </c>
      <c r="BM9" s="10">
        <f t="shared" si="8"/>
        <v>15000</v>
      </c>
      <c r="BN9" s="10">
        <f t="shared" si="9"/>
        <v>3875</v>
      </c>
      <c r="BO9" s="10">
        <f t="shared" si="10"/>
        <v>2583.3333333333339</v>
      </c>
      <c r="BP9" s="10">
        <f t="shared" si="11"/>
        <v>1291.666666666667</v>
      </c>
      <c r="BQ9" s="10"/>
      <c r="BR9" s="10"/>
      <c r="BS9" s="10"/>
      <c r="BT9" s="10"/>
      <c r="BU9" s="10"/>
      <c r="BV9" s="10"/>
    </row>
    <row r="10" spans="1:74">
      <c r="A10" s="26">
        <v>9</v>
      </c>
      <c r="B10" s="26" t="s">
        <v>43</v>
      </c>
      <c r="C10" s="21" t="s">
        <v>44</v>
      </c>
      <c r="D10" s="26"/>
      <c r="E10" s="31"/>
      <c r="F10" s="31"/>
      <c r="G10" s="26" t="s">
        <v>45</v>
      </c>
      <c r="H10" s="32"/>
      <c r="I10" s="26"/>
      <c r="J10" s="26" t="s">
        <v>59</v>
      </c>
      <c r="K10" s="34" t="s">
        <v>60</v>
      </c>
      <c r="L10" s="28" t="s">
        <v>197</v>
      </c>
      <c r="M10" s="5">
        <f>30+1</f>
        <v>31</v>
      </c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6"/>
      <c r="AV10" s="8"/>
      <c r="AW10" s="7"/>
      <c r="AX10" s="8">
        <f t="shared" si="0"/>
        <v>0</v>
      </c>
      <c r="AY10" s="7">
        <f t="shared" si="1"/>
        <v>400</v>
      </c>
      <c r="AZ10" s="7">
        <f>BA10*AY10</f>
        <v>12400</v>
      </c>
      <c r="BA10" s="10">
        <f t="shared" si="2"/>
        <v>31</v>
      </c>
      <c r="BB10" s="11">
        <v>12000</v>
      </c>
      <c r="BC10" s="10">
        <f t="shared" si="16"/>
        <v>12400</v>
      </c>
      <c r="BD10" s="10"/>
      <c r="BE10" s="10"/>
      <c r="BF10" s="10">
        <f t="shared" si="12"/>
        <v>12400</v>
      </c>
      <c r="BG10" s="12">
        <f t="shared" si="5"/>
        <v>0</v>
      </c>
      <c r="BH10" s="13">
        <f t="shared" si="6"/>
        <v>12400</v>
      </c>
      <c r="BI10" s="9">
        <v>0</v>
      </c>
      <c r="BJ10" s="10"/>
      <c r="BK10" s="10"/>
      <c r="BL10" s="10">
        <f t="shared" si="15"/>
        <v>0</v>
      </c>
      <c r="BM10" s="10">
        <f t="shared" si="8"/>
        <v>8680</v>
      </c>
      <c r="BN10" s="10">
        <f t="shared" si="9"/>
        <v>1860</v>
      </c>
      <c r="BO10" s="10">
        <f t="shared" si="10"/>
        <v>1240</v>
      </c>
      <c r="BP10" s="10">
        <f t="shared" si="11"/>
        <v>620</v>
      </c>
      <c r="BQ10" s="10"/>
      <c r="BR10" s="10"/>
      <c r="BS10" s="10"/>
      <c r="BT10" s="10"/>
      <c r="BU10" s="10"/>
      <c r="BV10" s="10"/>
    </row>
    <row r="11" spans="1:74">
      <c r="A11" s="21">
        <v>10</v>
      </c>
      <c r="B11" s="21" t="s">
        <v>43</v>
      </c>
      <c r="C11" s="21" t="s">
        <v>44</v>
      </c>
      <c r="D11" s="21" t="s">
        <v>61</v>
      </c>
      <c r="E11" s="27">
        <v>101836678588</v>
      </c>
      <c r="F11" s="27"/>
      <c r="G11" s="27" t="s">
        <v>62</v>
      </c>
      <c r="H11" s="32" t="s">
        <v>63</v>
      </c>
      <c r="I11" s="21" t="s">
        <v>64</v>
      </c>
      <c r="J11" s="21" t="s">
        <v>65</v>
      </c>
      <c r="K11" s="28" t="s">
        <v>66</v>
      </c>
      <c r="L11" s="28" t="s">
        <v>197</v>
      </c>
      <c r="M11" s="5">
        <v>4</v>
      </c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6"/>
      <c r="AV11" s="8"/>
      <c r="AW11" s="7"/>
      <c r="AX11" s="8">
        <f t="shared" si="0"/>
        <v>0</v>
      </c>
      <c r="AY11" s="7">
        <f t="shared" si="1"/>
        <v>1124.1666666666665</v>
      </c>
      <c r="AZ11" s="7">
        <f>BA11*AY11</f>
        <v>4496.6666666666661</v>
      </c>
      <c r="BA11" s="10">
        <f t="shared" si="2"/>
        <v>4</v>
      </c>
      <c r="BB11" s="11">
        <f>19000+1000</f>
        <v>20000</v>
      </c>
      <c r="BC11" s="10">
        <f t="shared" si="16"/>
        <v>2666.6666666666665</v>
      </c>
      <c r="BD11" s="10">
        <f>SUM(BB11*70%)*12%</f>
        <v>1680</v>
      </c>
      <c r="BE11" s="10">
        <f>SUM(BB11*0.75%)</f>
        <v>150</v>
      </c>
      <c r="BF11" s="10">
        <f t="shared" si="12"/>
        <v>836.66666666666652</v>
      </c>
      <c r="BG11" s="12">
        <f t="shared" si="5"/>
        <v>0</v>
      </c>
      <c r="BH11" s="13">
        <f t="shared" si="6"/>
        <v>836.66666666666652</v>
      </c>
      <c r="BI11" s="9">
        <v>0</v>
      </c>
      <c r="BJ11" s="10">
        <v>3300</v>
      </c>
      <c r="BK11" s="10"/>
      <c r="BL11" s="10">
        <f t="shared" si="15"/>
        <v>3300</v>
      </c>
      <c r="BM11" s="10">
        <f t="shared" si="8"/>
        <v>1866.6666666666665</v>
      </c>
      <c r="BN11" s="10">
        <f t="shared" si="9"/>
        <v>399.99999999999994</v>
      </c>
      <c r="BO11" s="10">
        <f t="shared" si="10"/>
        <v>266.66666666666669</v>
      </c>
      <c r="BP11" s="10">
        <f t="shared" si="11"/>
        <v>133.33333333333334</v>
      </c>
      <c r="BQ11" s="10">
        <f>BM11*12%</f>
        <v>223.99999999999997</v>
      </c>
      <c r="BR11" s="10">
        <f>IF(BB11&gt;21000,0,(BM11+BN11+BO11)*0.75%)</f>
        <v>18.999999999999996</v>
      </c>
      <c r="BS11" s="10">
        <f t="shared" ref="BS11:BS18" si="18">BQ11+BR11</f>
        <v>242.99999999999997</v>
      </c>
      <c r="BT11" s="10">
        <f t="shared" ref="BT11:BT18" si="19">BM11*13%</f>
        <v>242.66666666666666</v>
      </c>
      <c r="BU11" s="10">
        <f t="shared" ref="BU8:BU14" si="20">IF(BB11&gt;21000,0,(BM11+BN11+BO11)*3.25%)</f>
        <v>82.333333333333329</v>
      </c>
      <c r="BV11" s="10">
        <f>BD11+BE11</f>
        <v>1830</v>
      </c>
    </row>
    <row r="12" spans="1:74">
      <c r="A12" s="26">
        <v>11</v>
      </c>
      <c r="B12" s="21" t="s">
        <v>43</v>
      </c>
      <c r="C12" s="21" t="s">
        <v>44</v>
      </c>
      <c r="D12" s="21" t="s">
        <v>67</v>
      </c>
      <c r="E12" s="27">
        <v>102188488936</v>
      </c>
      <c r="F12" s="27"/>
      <c r="G12" s="27" t="s">
        <v>68</v>
      </c>
      <c r="H12" s="35" t="s">
        <v>69</v>
      </c>
      <c r="I12" s="21" t="s">
        <v>70</v>
      </c>
      <c r="J12" s="21" t="s">
        <v>71</v>
      </c>
      <c r="K12" s="28" t="s">
        <v>72</v>
      </c>
      <c r="L12" s="28" t="s">
        <v>197</v>
      </c>
      <c r="M12" s="15">
        <f>30+1-1</f>
        <v>30</v>
      </c>
      <c r="N12" s="6"/>
      <c r="O12" s="10"/>
      <c r="P12" s="6"/>
      <c r="Q12" s="10"/>
      <c r="R12" s="6"/>
      <c r="S12" s="10"/>
      <c r="T12" s="6"/>
      <c r="U12" s="10"/>
      <c r="V12" s="6"/>
      <c r="W12" s="10"/>
      <c r="X12" s="6"/>
      <c r="Y12" s="10"/>
      <c r="Z12" s="6"/>
      <c r="AA12" s="10"/>
      <c r="AB12" s="6"/>
      <c r="AC12" s="10"/>
      <c r="AD12" s="6"/>
      <c r="AE12" s="10"/>
      <c r="AF12" s="6"/>
      <c r="AG12" s="10"/>
      <c r="AH12" s="6"/>
      <c r="AI12" s="10"/>
      <c r="AJ12" s="6"/>
      <c r="AK12" s="10"/>
      <c r="AL12" s="6"/>
      <c r="AM12" s="10"/>
      <c r="AN12" s="6"/>
      <c r="AO12" s="10"/>
      <c r="AP12" s="6"/>
      <c r="AQ12" s="10"/>
      <c r="AR12" s="6"/>
      <c r="AS12" s="10"/>
      <c r="AT12" s="6"/>
      <c r="AU12" s="6"/>
      <c r="AV12" s="8"/>
      <c r="AW12" s="10"/>
      <c r="AX12" s="8">
        <f t="shared" si="0"/>
        <v>0</v>
      </c>
      <c r="AY12" s="7">
        <f t="shared" ref="AY12:AY20" si="21">SUM(BC12+BV12)/BA12</f>
        <v>523.54166666666663</v>
      </c>
      <c r="AZ12" s="7">
        <f>BA12*AY12</f>
        <v>15706.249999999998</v>
      </c>
      <c r="BA12" s="10">
        <f t="shared" si="2"/>
        <v>30</v>
      </c>
      <c r="BB12" s="14">
        <f>12000+2000</f>
        <v>14000</v>
      </c>
      <c r="BC12" s="10">
        <f t="shared" ref="BC12:BC30" si="22">SUM(BB12/30*BA12)</f>
        <v>14000</v>
      </c>
      <c r="BD12" s="10">
        <f t="shared" ref="BD12:BE22" si="23">BQ12</f>
        <v>1176</v>
      </c>
      <c r="BE12" s="10">
        <f t="shared" si="23"/>
        <v>99.75</v>
      </c>
      <c r="BF12" s="10">
        <f t="shared" si="12"/>
        <v>12724.25</v>
      </c>
      <c r="BG12" s="12">
        <f t="shared" si="5"/>
        <v>0</v>
      </c>
      <c r="BH12" s="13">
        <f t="shared" si="6"/>
        <v>12724.25</v>
      </c>
      <c r="BI12" s="9">
        <v>0</v>
      </c>
      <c r="BJ12" s="10"/>
      <c r="BK12" s="10"/>
      <c r="BL12" s="10">
        <f t="shared" ref="BL12:BL18" si="24">SUM(BI12+BJ12-BK12)</f>
        <v>0</v>
      </c>
      <c r="BM12" s="10">
        <f t="shared" si="8"/>
        <v>9800</v>
      </c>
      <c r="BN12" s="10">
        <f t="shared" si="9"/>
        <v>2100</v>
      </c>
      <c r="BO12" s="10">
        <f t="shared" si="10"/>
        <v>1400</v>
      </c>
      <c r="BP12" s="10">
        <f t="shared" si="11"/>
        <v>700</v>
      </c>
      <c r="BQ12" s="10">
        <f t="shared" ref="BQ12:BQ14" si="25">BM12*12%</f>
        <v>1176</v>
      </c>
      <c r="BR12" s="10">
        <f t="shared" ref="BR12:BR14" si="26">IF(BB12&gt;21000,0,(BM12+BN12+BO12)*0.75%)</f>
        <v>99.75</v>
      </c>
      <c r="BS12" s="10">
        <f t="shared" si="18"/>
        <v>1275.75</v>
      </c>
      <c r="BT12" s="10">
        <f t="shared" si="19"/>
        <v>1274</v>
      </c>
      <c r="BU12" s="10">
        <f t="shared" si="20"/>
        <v>432.25</v>
      </c>
      <c r="BV12" s="10">
        <f t="shared" ref="BV12:BV13" si="27">SUM(BT12+BU12)</f>
        <v>1706.25</v>
      </c>
    </row>
    <row r="13" spans="1:74">
      <c r="A13" s="26">
        <v>12</v>
      </c>
      <c r="B13" s="26" t="s">
        <v>43</v>
      </c>
      <c r="C13" s="26" t="s">
        <v>11</v>
      </c>
      <c r="D13" s="26" t="s">
        <v>67</v>
      </c>
      <c r="E13" s="36" t="s">
        <v>73</v>
      </c>
      <c r="F13" s="36">
        <v>5611406802</v>
      </c>
      <c r="G13" s="27" t="s">
        <v>62</v>
      </c>
      <c r="H13" s="31" t="s">
        <v>74</v>
      </c>
      <c r="I13" s="26" t="s">
        <v>75</v>
      </c>
      <c r="J13" s="26" t="s">
        <v>71</v>
      </c>
      <c r="K13" s="28" t="s">
        <v>76</v>
      </c>
      <c r="L13" s="28" t="s">
        <v>197</v>
      </c>
      <c r="M13" s="7"/>
      <c r="N13" s="6"/>
      <c r="O13" s="7"/>
      <c r="P13" s="6"/>
      <c r="Q13" s="7"/>
      <c r="R13" s="6"/>
      <c r="S13" s="7"/>
      <c r="T13" s="6"/>
      <c r="U13" s="8"/>
      <c r="V13" s="6"/>
      <c r="W13" s="7"/>
      <c r="X13" s="6"/>
      <c r="Y13" s="7">
        <v>8</v>
      </c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6"/>
      <c r="AV13" s="8"/>
      <c r="AW13" s="7"/>
      <c r="AX13" s="8">
        <f t="shared" si="0"/>
        <v>0</v>
      </c>
      <c r="AY13" s="7">
        <f t="shared" si="21"/>
        <v>486.14583333333331</v>
      </c>
      <c r="AZ13" s="7">
        <f>BA13*AY13</f>
        <v>3889.1666666666665</v>
      </c>
      <c r="BA13" s="10">
        <f t="shared" si="2"/>
        <v>8</v>
      </c>
      <c r="BB13" s="14">
        <v>13000</v>
      </c>
      <c r="BC13" s="10">
        <f t="shared" si="22"/>
        <v>3466.6666666666665</v>
      </c>
      <c r="BD13" s="10">
        <f t="shared" si="23"/>
        <v>291.2</v>
      </c>
      <c r="BE13" s="10">
        <f t="shared" si="23"/>
        <v>24.699999999999996</v>
      </c>
      <c r="BF13" s="10">
        <f t="shared" si="12"/>
        <v>3150.7666666666669</v>
      </c>
      <c r="BG13" s="12">
        <f t="shared" si="5"/>
        <v>0</v>
      </c>
      <c r="BH13" s="13">
        <f t="shared" si="6"/>
        <v>3150.7666666666669</v>
      </c>
      <c r="BI13" s="9">
        <v>0</v>
      </c>
      <c r="BJ13" s="10"/>
      <c r="BK13" s="10"/>
      <c r="BL13" s="10">
        <f t="shared" si="24"/>
        <v>0</v>
      </c>
      <c r="BM13" s="10">
        <f t="shared" si="8"/>
        <v>2426.6666666666665</v>
      </c>
      <c r="BN13" s="10">
        <f t="shared" si="9"/>
        <v>520</v>
      </c>
      <c r="BO13" s="10">
        <f t="shared" si="10"/>
        <v>346.66666666666669</v>
      </c>
      <c r="BP13" s="10">
        <f t="shared" si="11"/>
        <v>173.33333333333334</v>
      </c>
      <c r="BQ13" s="10">
        <f t="shared" si="25"/>
        <v>291.2</v>
      </c>
      <c r="BR13" s="10">
        <f t="shared" si="26"/>
        <v>24.699999999999996</v>
      </c>
      <c r="BS13" s="10">
        <f t="shared" si="18"/>
        <v>315.89999999999998</v>
      </c>
      <c r="BT13" s="10">
        <f t="shared" si="19"/>
        <v>315.46666666666664</v>
      </c>
      <c r="BU13" s="10">
        <f t="shared" si="20"/>
        <v>107.03333333333333</v>
      </c>
      <c r="BV13" s="10">
        <f t="shared" si="27"/>
        <v>422.5</v>
      </c>
    </row>
    <row r="14" spans="1:74">
      <c r="A14" s="26">
        <v>13</v>
      </c>
      <c r="B14" s="21" t="s">
        <v>43</v>
      </c>
      <c r="C14" s="21" t="s">
        <v>17</v>
      </c>
      <c r="D14" s="21" t="s">
        <v>67</v>
      </c>
      <c r="E14" s="27">
        <v>101840514758</v>
      </c>
      <c r="F14" s="27"/>
      <c r="G14" s="27" t="s">
        <v>62</v>
      </c>
      <c r="H14" s="21" t="s">
        <v>77</v>
      </c>
      <c r="I14" s="21" t="s">
        <v>64</v>
      </c>
      <c r="J14" s="21" t="s">
        <v>65</v>
      </c>
      <c r="K14" s="28" t="s">
        <v>78</v>
      </c>
      <c r="L14" s="28" t="s">
        <v>197</v>
      </c>
      <c r="M14" s="15"/>
      <c r="N14" s="6"/>
      <c r="O14" s="10"/>
      <c r="P14" s="6"/>
      <c r="Q14" s="10"/>
      <c r="R14" s="6"/>
      <c r="S14" s="10"/>
      <c r="T14" s="6"/>
      <c r="U14" s="10"/>
      <c r="V14" s="6"/>
      <c r="W14" s="10"/>
      <c r="X14" s="6"/>
      <c r="Y14" s="10"/>
      <c r="Z14" s="6"/>
      <c r="AA14" s="10"/>
      <c r="AB14" s="6"/>
      <c r="AC14" s="10"/>
      <c r="AD14" s="6"/>
      <c r="AE14" s="10"/>
      <c r="AF14" s="6"/>
      <c r="AG14" s="10"/>
      <c r="AH14" s="6"/>
      <c r="AI14" s="10"/>
      <c r="AJ14" s="6"/>
      <c r="AK14" s="10">
        <f>30+1</f>
        <v>31</v>
      </c>
      <c r="AL14" s="6"/>
      <c r="AM14" s="10"/>
      <c r="AN14" s="6"/>
      <c r="AO14" s="10"/>
      <c r="AP14" s="6"/>
      <c r="AQ14" s="10"/>
      <c r="AR14" s="6"/>
      <c r="AS14" s="10"/>
      <c r="AT14" s="6"/>
      <c r="AU14" s="6"/>
      <c r="AV14" s="8"/>
      <c r="AW14" s="10"/>
      <c r="AX14" s="8">
        <f t="shared" si="0"/>
        <v>0</v>
      </c>
      <c r="AY14" s="7">
        <f t="shared" si="21"/>
        <v>812.90322580645159</v>
      </c>
      <c r="AZ14" s="7">
        <f>BA14*AY14</f>
        <v>25200</v>
      </c>
      <c r="BA14" s="10">
        <f t="shared" si="2"/>
        <v>31</v>
      </c>
      <c r="BB14" s="14">
        <f>21000+1500</f>
        <v>22500</v>
      </c>
      <c r="BC14" s="10">
        <f t="shared" si="22"/>
        <v>23250</v>
      </c>
      <c r="BD14" s="10">
        <f t="shared" si="23"/>
        <v>1800</v>
      </c>
      <c r="BE14" s="10">
        <f t="shared" si="23"/>
        <v>0</v>
      </c>
      <c r="BF14" s="10">
        <f t="shared" si="12"/>
        <v>21450</v>
      </c>
      <c r="BG14" s="12">
        <f t="shared" si="5"/>
        <v>0</v>
      </c>
      <c r="BH14" s="13">
        <f t="shared" si="6"/>
        <v>21450</v>
      </c>
      <c r="BI14" s="9">
        <v>0</v>
      </c>
      <c r="BJ14" s="10"/>
      <c r="BK14" s="10"/>
      <c r="BL14" s="10">
        <f t="shared" si="24"/>
        <v>0</v>
      </c>
      <c r="BM14" s="10">
        <f t="shared" si="8"/>
        <v>15000</v>
      </c>
      <c r="BN14" s="10">
        <f t="shared" si="9"/>
        <v>3487.5</v>
      </c>
      <c r="BO14" s="10">
        <f t="shared" si="10"/>
        <v>2325</v>
      </c>
      <c r="BP14" s="10">
        <f t="shared" si="11"/>
        <v>1162.5</v>
      </c>
      <c r="BQ14" s="10">
        <f t="shared" si="25"/>
        <v>1800</v>
      </c>
      <c r="BR14" s="10">
        <f t="shared" si="26"/>
        <v>0</v>
      </c>
      <c r="BS14" s="10">
        <f t="shared" si="18"/>
        <v>1800</v>
      </c>
      <c r="BT14" s="10">
        <f t="shared" si="19"/>
        <v>1950</v>
      </c>
      <c r="BU14" s="10">
        <f t="shared" si="20"/>
        <v>0</v>
      </c>
      <c r="BV14" s="10">
        <f>SUM(BT14+BU14)</f>
        <v>1950</v>
      </c>
    </row>
    <row r="15" spans="1:74">
      <c r="A15" s="21">
        <v>14</v>
      </c>
      <c r="B15" s="21" t="s">
        <v>43</v>
      </c>
      <c r="C15" s="21" t="s">
        <v>9</v>
      </c>
      <c r="D15" s="21" t="s">
        <v>67</v>
      </c>
      <c r="E15" s="27">
        <v>101893675520</v>
      </c>
      <c r="F15" s="27"/>
      <c r="G15" s="27" t="s">
        <v>62</v>
      </c>
      <c r="H15" s="21" t="s">
        <v>79</v>
      </c>
      <c r="I15" s="21" t="s">
        <v>75</v>
      </c>
      <c r="J15" s="21" t="s">
        <v>65</v>
      </c>
      <c r="K15" s="28" t="s">
        <v>80</v>
      </c>
      <c r="L15" s="28" t="s">
        <v>197</v>
      </c>
      <c r="M15" s="10"/>
      <c r="N15" s="6"/>
      <c r="O15" s="10"/>
      <c r="P15" s="6"/>
      <c r="Q15" s="10"/>
      <c r="R15" s="6"/>
      <c r="S15" s="10"/>
      <c r="T15" s="6"/>
      <c r="U15" s="10">
        <v>14</v>
      </c>
      <c r="V15" s="6"/>
      <c r="W15" s="10"/>
      <c r="X15" s="6"/>
      <c r="Y15" s="10"/>
      <c r="Z15" s="6"/>
      <c r="AA15" s="10"/>
      <c r="AB15" s="6"/>
      <c r="AC15" s="10"/>
      <c r="AD15" s="6"/>
      <c r="AE15" s="10"/>
      <c r="AF15" s="6"/>
      <c r="AG15" s="10"/>
      <c r="AH15" s="6"/>
      <c r="AI15" s="10"/>
      <c r="AJ15" s="6"/>
      <c r="AK15" s="10"/>
      <c r="AL15" s="6"/>
      <c r="AM15" s="10"/>
      <c r="AN15" s="6"/>
      <c r="AO15" s="10"/>
      <c r="AP15" s="6"/>
      <c r="AQ15" s="10"/>
      <c r="AR15" s="6"/>
      <c r="AS15" s="10"/>
      <c r="AT15" s="6"/>
      <c r="AU15" s="6"/>
      <c r="AV15" s="8"/>
      <c r="AW15" s="10"/>
      <c r="AX15" s="8">
        <f t="shared" si="0"/>
        <v>0</v>
      </c>
      <c r="AY15" s="7">
        <f t="shared" si="21"/>
        <v>710.52083333333337</v>
      </c>
      <c r="AZ15" s="7">
        <f>BA15*AY15</f>
        <v>9947.2916666666679</v>
      </c>
      <c r="BA15" s="10">
        <f t="shared" si="2"/>
        <v>14</v>
      </c>
      <c r="BB15" s="14">
        <f>17500+1500</f>
        <v>19000</v>
      </c>
      <c r="BC15" s="10">
        <f t="shared" si="22"/>
        <v>8866.6666666666679</v>
      </c>
      <c r="BD15" s="10">
        <f t="shared" si="23"/>
        <v>744.8</v>
      </c>
      <c r="BE15" s="10">
        <f t="shared" si="23"/>
        <v>63.175000000000004</v>
      </c>
      <c r="BF15" s="10">
        <f t="shared" si="12"/>
        <v>8058.6916666666675</v>
      </c>
      <c r="BG15" s="12">
        <f t="shared" si="5"/>
        <v>8059</v>
      </c>
      <c r="BH15" s="13">
        <f t="shared" si="6"/>
        <v>-0.30833333333248447</v>
      </c>
      <c r="BI15" s="9">
        <v>11000</v>
      </c>
      <c r="BJ15" s="10"/>
      <c r="BK15" s="10">
        <v>8059</v>
      </c>
      <c r="BL15" s="10">
        <f t="shared" si="24"/>
        <v>2941</v>
      </c>
      <c r="BM15" s="10">
        <f t="shared" si="8"/>
        <v>6206.666666666667</v>
      </c>
      <c r="BN15" s="10">
        <f t="shared" si="9"/>
        <v>1330.0000000000002</v>
      </c>
      <c r="BO15" s="10">
        <f t="shared" si="10"/>
        <v>886.66666666666686</v>
      </c>
      <c r="BP15" s="10">
        <f t="shared" si="11"/>
        <v>443.33333333333343</v>
      </c>
      <c r="BQ15" s="10">
        <f>BM15*12%</f>
        <v>744.8</v>
      </c>
      <c r="BR15" s="10">
        <f>IF(BB15&gt;21000,0,(BM15+BN15+BO15)*0.75%)</f>
        <v>63.175000000000004</v>
      </c>
      <c r="BS15" s="10">
        <f t="shared" si="18"/>
        <v>807.97499999999991</v>
      </c>
      <c r="BT15" s="10">
        <f t="shared" si="19"/>
        <v>806.86666666666679</v>
      </c>
      <c r="BU15" s="10">
        <f>IF(BB15&gt;21000,0,(BM15+BN15+BO15)*3.25%)</f>
        <v>273.75833333333338</v>
      </c>
      <c r="BV15" s="10">
        <f>SUM(BT15+BU15)</f>
        <v>1080.6250000000002</v>
      </c>
    </row>
    <row r="16" spans="1:74">
      <c r="A16" s="26">
        <v>15</v>
      </c>
      <c r="B16" s="21" t="s">
        <v>43</v>
      </c>
      <c r="C16" s="21" t="s">
        <v>44</v>
      </c>
      <c r="D16" s="21" t="s">
        <v>67</v>
      </c>
      <c r="E16" s="27">
        <v>102188476483</v>
      </c>
      <c r="F16" s="27"/>
      <c r="G16" s="27" t="s">
        <v>68</v>
      </c>
      <c r="H16" s="35" t="s">
        <v>81</v>
      </c>
      <c r="I16" s="21" t="s">
        <v>82</v>
      </c>
      <c r="J16" s="21" t="s">
        <v>71</v>
      </c>
      <c r="K16" s="28" t="s">
        <v>83</v>
      </c>
      <c r="L16" s="28" t="s">
        <v>197</v>
      </c>
      <c r="M16" s="5">
        <f>30-2+1</f>
        <v>29</v>
      </c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6"/>
      <c r="AV16" s="8"/>
      <c r="AW16" s="7"/>
      <c r="AX16" s="8">
        <f t="shared" si="0"/>
        <v>0</v>
      </c>
      <c r="AY16" s="7">
        <f t="shared" si="21"/>
        <v>411.35416666666669</v>
      </c>
      <c r="AZ16" s="7">
        <f>BA16*AY16</f>
        <v>11929.270833333334</v>
      </c>
      <c r="BA16" s="10">
        <f t="shared" si="2"/>
        <v>29</v>
      </c>
      <c r="BB16" s="11">
        <v>11000</v>
      </c>
      <c r="BC16" s="10">
        <f t="shared" si="22"/>
        <v>10633.333333333334</v>
      </c>
      <c r="BD16" s="10">
        <f t="shared" si="23"/>
        <v>893.19999999999993</v>
      </c>
      <c r="BE16" s="10">
        <f t="shared" si="23"/>
        <v>75.762499999999989</v>
      </c>
      <c r="BF16" s="10">
        <f t="shared" si="12"/>
        <v>9664.3708333333325</v>
      </c>
      <c r="BG16" s="12">
        <f t="shared" si="5"/>
        <v>0</v>
      </c>
      <c r="BH16" s="13">
        <f t="shared" si="6"/>
        <v>9664.3708333333325</v>
      </c>
      <c r="BI16" s="9">
        <v>0</v>
      </c>
      <c r="BJ16" s="10"/>
      <c r="BK16" s="10"/>
      <c r="BL16" s="10">
        <f t="shared" si="24"/>
        <v>0</v>
      </c>
      <c r="BM16" s="10">
        <f t="shared" si="8"/>
        <v>7443.333333333333</v>
      </c>
      <c r="BN16" s="10">
        <f t="shared" si="9"/>
        <v>1595</v>
      </c>
      <c r="BO16" s="10">
        <f t="shared" si="10"/>
        <v>1063.3333333333335</v>
      </c>
      <c r="BP16" s="10">
        <f t="shared" si="11"/>
        <v>531.66666666666674</v>
      </c>
      <c r="BQ16" s="10">
        <f>BM16*12%</f>
        <v>893.19999999999993</v>
      </c>
      <c r="BR16" s="10">
        <f>IF(BB16&gt;21000,0,(BM16+BN16+BO16)*0.75%)</f>
        <v>75.762499999999989</v>
      </c>
      <c r="BS16" s="10">
        <f t="shared" si="18"/>
        <v>968.96249999999986</v>
      </c>
      <c r="BT16" s="10">
        <f t="shared" si="19"/>
        <v>967.63333333333333</v>
      </c>
      <c r="BU16" s="10">
        <f>IF(BB16&gt;21000,0,(BM16+BN16+BO16)*3.25%)</f>
        <v>328.30416666666667</v>
      </c>
      <c r="BV16" s="10">
        <f>SUM(BT16+BU16)</f>
        <v>1295.9375</v>
      </c>
    </row>
    <row r="17" spans="1:74">
      <c r="A17" s="26">
        <v>16</v>
      </c>
      <c r="B17" s="21" t="s">
        <v>43</v>
      </c>
      <c r="C17" s="21" t="s">
        <v>44</v>
      </c>
      <c r="D17" s="21" t="s">
        <v>67</v>
      </c>
      <c r="E17" s="27">
        <v>101841004767</v>
      </c>
      <c r="F17" s="27"/>
      <c r="G17" s="27" t="s">
        <v>62</v>
      </c>
      <c r="H17" s="21">
        <v>60417794129</v>
      </c>
      <c r="I17" s="21" t="s">
        <v>64</v>
      </c>
      <c r="J17" s="21" t="s">
        <v>65</v>
      </c>
      <c r="K17" s="28" t="s">
        <v>84</v>
      </c>
      <c r="L17" s="28" t="s">
        <v>197</v>
      </c>
      <c r="M17" s="5">
        <f>30+1</f>
        <v>31</v>
      </c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6"/>
      <c r="AV17" s="8"/>
      <c r="AW17" s="7"/>
      <c r="AX17" s="8">
        <f t="shared" si="0"/>
        <v>0</v>
      </c>
      <c r="AY17" s="7">
        <f t="shared" si="21"/>
        <v>617.03125</v>
      </c>
      <c r="AZ17" s="7">
        <f>BA17*AY17</f>
        <v>19127.96875</v>
      </c>
      <c r="BA17" s="10">
        <f t="shared" si="2"/>
        <v>31</v>
      </c>
      <c r="BB17" s="11">
        <f>15000+1500</f>
        <v>16500</v>
      </c>
      <c r="BC17" s="10">
        <f t="shared" si="22"/>
        <v>17050</v>
      </c>
      <c r="BD17" s="10">
        <f t="shared" si="23"/>
        <v>1432.2</v>
      </c>
      <c r="BE17" s="10">
        <f t="shared" si="23"/>
        <v>121.48124999999999</v>
      </c>
      <c r="BF17" s="10">
        <f t="shared" si="12"/>
        <v>15496.318749999999</v>
      </c>
      <c r="BG17" s="12">
        <f t="shared" si="5"/>
        <v>0</v>
      </c>
      <c r="BH17" s="13">
        <f t="shared" si="6"/>
        <v>15496.318749999999</v>
      </c>
      <c r="BI17" s="9">
        <v>0</v>
      </c>
      <c r="BJ17" s="10"/>
      <c r="BK17" s="10"/>
      <c r="BL17" s="10">
        <f t="shared" si="24"/>
        <v>0</v>
      </c>
      <c r="BM17" s="10">
        <f t="shared" si="8"/>
        <v>11935</v>
      </c>
      <c r="BN17" s="10">
        <f t="shared" si="9"/>
        <v>2557.5</v>
      </c>
      <c r="BO17" s="10">
        <f t="shared" si="10"/>
        <v>1705</v>
      </c>
      <c r="BP17" s="10">
        <f t="shared" si="11"/>
        <v>852.5</v>
      </c>
      <c r="BQ17" s="10">
        <f>BM17*12%</f>
        <v>1432.2</v>
      </c>
      <c r="BR17" s="10">
        <f>IF(BB17&gt;21000,0,(BM17+BN17+BO17)*0.75%)</f>
        <v>121.48124999999999</v>
      </c>
      <c r="BS17" s="10">
        <f t="shared" si="18"/>
        <v>1553.6812500000001</v>
      </c>
      <c r="BT17" s="10">
        <f t="shared" si="19"/>
        <v>1551.55</v>
      </c>
      <c r="BU17" s="10">
        <f>IF(BB17&gt;21000,0,(BM17+BN17+BO17)*3.25%)</f>
        <v>526.41875000000005</v>
      </c>
      <c r="BV17" s="10">
        <f>SUM(BT17+BU17)</f>
        <v>2077.96875</v>
      </c>
    </row>
    <row r="18" spans="1:74">
      <c r="A18" s="26">
        <v>17</v>
      </c>
      <c r="B18" s="21" t="s">
        <v>43</v>
      </c>
      <c r="C18" s="21" t="s">
        <v>17</v>
      </c>
      <c r="D18" s="21" t="s">
        <v>67</v>
      </c>
      <c r="E18" s="27">
        <v>101840514394</v>
      </c>
      <c r="F18" s="27"/>
      <c r="G18" s="27" t="s">
        <v>62</v>
      </c>
      <c r="H18" s="21" t="s">
        <v>85</v>
      </c>
      <c r="I18" s="21" t="s">
        <v>64</v>
      </c>
      <c r="J18" s="21" t="s">
        <v>65</v>
      </c>
      <c r="K18" s="28" t="s">
        <v>86</v>
      </c>
      <c r="L18" s="28" t="s">
        <v>197</v>
      </c>
      <c r="M18" s="15"/>
      <c r="N18" s="6"/>
      <c r="O18" s="10"/>
      <c r="P18" s="6"/>
      <c r="Q18" s="10"/>
      <c r="R18" s="6"/>
      <c r="S18" s="10"/>
      <c r="T18" s="6"/>
      <c r="U18" s="10"/>
      <c r="V18" s="6"/>
      <c r="W18" s="10"/>
      <c r="X18" s="6"/>
      <c r="Y18" s="10"/>
      <c r="Z18" s="6"/>
      <c r="AA18" s="10"/>
      <c r="AB18" s="6"/>
      <c r="AC18" s="10"/>
      <c r="AD18" s="6"/>
      <c r="AE18" s="10"/>
      <c r="AF18" s="6"/>
      <c r="AG18" s="10"/>
      <c r="AH18" s="6"/>
      <c r="AI18" s="10"/>
      <c r="AJ18" s="6"/>
      <c r="AK18" s="10"/>
      <c r="AL18" s="6"/>
      <c r="AM18" s="10"/>
      <c r="AN18" s="6"/>
      <c r="AO18" s="10"/>
      <c r="AP18" s="6"/>
      <c r="AQ18" s="10">
        <f>30+1</f>
        <v>31</v>
      </c>
      <c r="AR18" s="6"/>
      <c r="AS18" s="10"/>
      <c r="AT18" s="6"/>
      <c r="AU18" s="6"/>
      <c r="AV18" s="8"/>
      <c r="AW18" s="10"/>
      <c r="AX18" s="8">
        <f t="shared" si="0"/>
        <v>0</v>
      </c>
      <c r="AY18" s="7">
        <f t="shared" si="21"/>
        <v>579.63541666666663</v>
      </c>
      <c r="AZ18" s="7">
        <f>BA18*AY18</f>
        <v>17968.697916666664</v>
      </c>
      <c r="BA18" s="10">
        <f t="shared" si="2"/>
        <v>31</v>
      </c>
      <c r="BB18" s="14">
        <f>14500+1000</f>
        <v>15500</v>
      </c>
      <c r="BC18" s="10">
        <f t="shared" si="22"/>
        <v>16016.666666666666</v>
      </c>
      <c r="BD18" s="10">
        <f t="shared" si="23"/>
        <v>1345.3999999999999</v>
      </c>
      <c r="BE18" s="10">
        <f t="shared" si="23"/>
        <v>114.11874999999999</v>
      </c>
      <c r="BF18" s="10">
        <f t="shared" si="12"/>
        <v>14557.147916666667</v>
      </c>
      <c r="BG18" s="12">
        <f t="shared" si="5"/>
        <v>0</v>
      </c>
      <c r="BH18" s="13">
        <f t="shared" si="6"/>
        <v>14557.147916666667</v>
      </c>
      <c r="BI18" s="9">
        <v>0</v>
      </c>
      <c r="BJ18" s="10"/>
      <c r="BK18" s="10"/>
      <c r="BL18" s="10">
        <f t="shared" si="24"/>
        <v>0</v>
      </c>
      <c r="BM18" s="10">
        <f t="shared" si="8"/>
        <v>11211.666666666666</v>
      </c>
      <c r="BN18" s="10">
        <f t="shared" si="9"/>
        <v>2402.5</v>
      </c>
      <c r="BO18" s="10">
        <f t="shared" si="10"/>
        <v>1601.6666666666667</v>
      </c>
      <c r="BP18" s="10">
        <f t="shared" si="11"/>
        <v>800.83333333333337</v>
      </c>
      <c r="BQ18" s="10">
        <f>BM18*12%</f>
        <v>1345.3999999999999</v>
      </c>
      <c r="BR18" s="10">
        <f>IF(BB18&gt;21000,0,(BM18+BN18+BO18)*0.75%)</f>
        <v>114.11874999999999</v>
      </c>
      <c r="BS18" s="10">
        <f t="shared" si="18"/>
        <v>1459.51875</v>
      </c>
      <c r="BT18" s="10">
        <f t="shared" si="19"/>
        <v>1457.5166666666667</v>
      </c>
      <c r="BU18" s="10">
        <f>IF(BB18&gt;21000,0,(BM18+BN18+BO18)*3.25%)</f>
        <v>494.51458333333329</v>
      </c>
      <c r="BV18" s="10">
        <f>SUM(BT18+BU18)</f>
        <v>1952.03125</v>
      </c>
    </row>
    <row r="19" spans="1:74">
      <c r="A19" s="21">
        <v>18</v>
      </c>
      <c r="B19" s="21" t="s">
        <v>43</v>
      </c>
      <c r="C19" s="21" t="s">
        <v>44</v>
      </c>
      <c r="D19" s="21" t="s">
        <v>67</v>
      </c>
      <c r="E19" s="27">
        <v>101328681404</v>
      </c>
      <c r="F19" s="27"/>
      <c r="G19" s="27" t="s">
        <v>62</v>
      </c>
      <c r="H19" s="21" t="s">
        <v>87</v>
      </c>
      <c r="I19" s="21" t="s">
        <v>64</v>
      </c>
      <c r="J19" s="21" t="s">
        <v>65</v>
      </c>
      <c r="K19" s="28" t="s">
        <v>88</v>
      </c>
      <c r="L19" s="28" t="s">
        <v>197</v>
      </c>
      <c r="M19" s="15">
        <f>30-1+1</f>
        <v>30</v>
      </c>
      <c r="N19" s="6"/>
      <c r="O19" s="10"/>
      <c r="P19" s="6"/>
      <c r="Q19" s="10"/>
      <c r="R19" s="6"/>
      <c r="S19" s="10"/>
      <c r="T19" s="6"/>
      <c r="U19" s="10"/>
      <c r="V19" s="6"/>
      <c r="W19" s="10"/>
      <c r="X19" s="6"/>
      <c r="Y19" s="10"/>
      <c r="Z19" s="6"/>
      <c r="AA19" s="10"/>
      <c r="AB19" s="6"/>
      <c r="AC19" s="10"/>
      <c r="AD19" s="6"/>
      <c r="AE19" s="10"/>
      <c r="AF19" s="6"/>
      <c r="AG19" s="10"/>
      <c r="AH19" s="6"/>
      <c r="AI19" s="10"/>
      <c r="AJ19" s="6"/>
      <c r="AK19" s="10"/>
      <c r="AL19" s="6"/>
      <c r="AM19" s="10"/>
      <c r="AN19" s="6"/>
      <c r="AO19" s="10"/>
      <c r="AP19" s="6"/>
      <c r="AQ19" s="10"/>
      <c r="AR19" s="6"/>
      <c r="AS19" s="10"/>
      <c r="AT19" s="6"/>
      <c r="AU19" s="6"/>
      <c r="AV19" s="8"/>
      <c r="AW19" s="10"/>
      <c r="AX19" s="8">
        <f t="shared" si="0"/>
        <v>0</v>
      </c>
      <c r="AY19" s="7">
        <f t="shared" si="21"/>
        <v>747.91666666666663</v>
      </c>
      <c r="AZ19" s="7">
        <f>BA19*AY19</f>
        <v>22437.5</v>
      </c>
      <c r="BA19" s="10">
        <f t="shared" si="2"/>
        <v>30</v>
      </c>
      <c r="BB19" s="14">
        <f>18500+1500</f>
        <v>20000</v>
      </c>
      <c r="BC19" s="10">
        <f t="shared" si="22"/>
        <v>20000</v>
      </c>
      <c r="BD19" s="10">
        <f t="shared" si="23"/>
        <v>1680</v>
      </c>
      <c r="BE19" s="10">
        <f t="shared" si="23"/>
        <v>142.5</v>
      </c>
      <c r="BF19" s="10">
        <f t="shared" si="12"/>
        <v>18177.5</v>
      </c>
      <c r="BG19" s="12">
        <f t="shared" si="5"/>
        <v>0</v>
      </c>
      <c r="BH19" s="13">
        <f t="shared" si="6"/>
        <v>18177.5</v>
      </c>
      <c r="BI19" s="9">
        <v>4000</v>
      </c>
      <c r="BJ19" s="10"/>
      <c r="BK19" s="10"/>
      <c r="BL19" s="10">
        <f t="shared" ref="BL19:BL28" si="28">SUM(BI19+BJ19-BK19)</f>
        <v>4000</v>
      </c>
      <c r="BM19" s="10">
        <f t="shared" si="8"/>
        <v>14000</v>
      </c>
      <c r="BN19" s="10">
        <f t="shared" si="9"/>
        <v>3000</v>
      </c>
      <c r="BO19" s="10">
        <f t="shared" si="10"/>
        <v>2000</v>
      </c>
      <c r="BP19" s="10">
        <f t="shared" si="11"/>
        <v>1000</v>
      </c>
      <c r="BQ19" s="10">
        <f>BM19*12%</f>
        <v>1680</v>
      </c>
      <c r="BR19" s="10">
        <f>IF(BB19&gt;21000,0,(BM19+BN19+BO19)*0.75%)</f>
        <v>142.5</v>
      </c>
      <c r="BS19" s="10">
        <f>BQ19+BR19</f>
        <v>1822.5</v>
      </c>
      <c r="BT19" s="10">
        <f>BM19*13%</f>
        <v>1820</v>
      </c>
      <c r="BU19" s="10">
        <f>IF(BB19&gt;21000,0,(BM19+BN19+BO19)*3.25%)</f>
        <v>617.5</v>
      </c>
      <c r="BV19" s="10">
        <f>SUM(BT19+BU19)</f>
        <v>2437.5</v>
      </c>
    </row>
    <row r="20" spans="1:74">
      <c r="A20" s="26">
        <v>19</v>
      </c>
      <c r="B20" s="21" t="s">
        <v>43</v>
      </c>
      <c r="C20" s="21" t="s">
        <v>8</v>
      </c>
      <c r="D20" s="21" t="s">
        <v>67</v>
      </c>
      <c r="E20" s="27">
        <v>102156040626</v>
      </c>
      <c r="F20" s="27"/>
      <c r="G20" s="27" t="s">
        <v>62</v>
      </c>
      <c r="H20" s="29" t="s">
        <v>89</v>
      </c>
      <c r="I20" s="21" t="s">
        <v>75</v>
      </c>
      <c r="J20" s="21" t="s">
        <v>71</v>
      </c>
      <c r="K20" s="28" t="s">
        <v>90</v>
      </c>
      <c r="L20" s="28" t="s">
        <v>197</v>
      </c>
      <c r="M20" s="5">
        <v>7</v>
      </c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6"/>
      <c r="AV20" s="8"/>
      <c r="AW20" s="7"/>
      <c r="AX20" s="8">
        <f t="shared" si="0"/>
        <v>0</v>
      </c>
      <c r="AY20" s="7">
        <f t="shared" si="21"/>
        <v>1054.6333333333332</v>
      </c>
      <c r="AZ20" s="7">
        <f>BA20*AY20</f>
        <v>7382.4333333333325</v>
      </c>
      <c r="BA20" s="10">
        <f t="shared" si="2"/>
        <v>7</v>
      </c>
      <c r="BB20" s="14">
        <f>28000+1000</f>
        <v>29000</v>
      </c>
      <c r="BC20" s="10">
        <f t="shared" si="22"/>
        <v>6766.6666666666661</v>
      </c>
      <c r="BD20" s="10">
        <f t="shared" si="23"/>
        <v>568.39999999999986</v>
      </c>
      <c r="BE20" s="10">
        <f t="shared" si="23"/>
        <v>0</v>
      </c>
      <c r="BF20" s="10">
        <f t="shared" si="12"/>
        <v>6198.2666666666664</v>
      </c>
      <c r="BG20" s="12">
        <f t="shared" si="5"/>
        <v>0</v>
      </c>
      <c r="BH20" s="13">
        <f t="shared" si="6"/>
        <v>6198.2666666666664</v>
      </c>
      <c r="BI20" s="9">
        <v>0</v>
      </c>
      <c r="BJ20" s="10"/>
      <c r="BK20" s="10"/>
      <c r="BL20" s="10">
        <f t="shared" si="28"/>
        <v>0</v>
      </c>
      <c r="BM20" s="10">
        <f t="shared" si="8"/>
        <v>4736.6666666666661</v>
      </c>
      <c r="BN20" s="10">
        <f t="shared" si="9"/>
        <v>1014.9999999999999</v>
      </c>
      <c r="BO20" s="10">
        <f t="shared" si="10"/>
        <v>676.66666666666663</v>
      </c>
      <c r="BP20" s="10">
        <f t="shared" si="11"/>
        <v>338.33333333333331</v>
      </c>
      <c r="BQ20" s="10">
        <f>BM20*12%</f>
        <v>568.39999999999986</v>
      </c>
      <c r="BR20" s="10">
        <f>IF(BB20&gt;21000,0,(BM20+BN20+BO20)*0.75%)</f>
        <v>0</v>
      </c>
      <c r="BS20" s="10">
        <f>BQ20+BR20</f>
        <v>568.39999999999986</v>
      </c>
      <c r="BT20" s="10">
        <f>BM20*13%</f>
        <v>615.76666666666665</v>
      </c>
      <c r="BU20" s="10">
        <f>IF(BB20&gt;21000,0,(BM20+BN20+BO20)*3.25%)</f>
        <v>0</v>
      </c>
      <c r="BV20" s="10">
        <f>SUM(BT20+BU20)</f>
        <v>615.76666666666665</v>
      </c>
    </row>
    <row r="21" spans="1:74" ht="15.75" thickBot="1">
      <c r="A21" s="26">
        <v>20</v>
      </c>
      <c r="B21" s="21" t="s">
        <v>43</v>
      </c>
      <c r="C21" s="21" t="s">
        <v>44</v>
      </c>
      <c r="D21" s="26" t="s">
        <v>67</v>
      </c>
      <c r="E21" s="27">
        <v>101840514649</v>
      </c>
      <c r="F21" s="27"/>
      <c r="G21" s="27" t="s">
        <v>62</v>
      </c>
      <c r="H21" s="37" t="s">
        <v>91</v>
      </c>
      <c r="I21" s="26" t="s">
        <v>75</v>
      </c>
      <c r="J21" s="26" t="s">
        <v>65</v>
      </c>
      <c r="K21" s="34" t="s">
        <v>92</v>
      </c>
      <c r="L21" s="28" t="s">
        <v>197</v>
      </c>
      <c r="M21" s="5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>
        <f>30+1</f>
        <v>31</v>
      </c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6"/>
      <c r="AV21" s="8"/>
      <c r="AW21" s="7"/>
      <c r="AX21" s="8">
        <f t="shared" si="0"/>
        <v>0</v>
      </c>
      <c r="AY21" s="7">
        <f t="shared" ref="AY21:AY28" si="29">SUM(BC21+BV21)/BA21</f>
        <v>542.23958333333326</v>
      </c>
      <c r="AZ21" s="7">
        <f>BA21*AY21</f>
        <v>16809.427083333332</v>
      </c>
      <c r="BA21" s="10">
        <f t="shared" si="2"/>
        <v>31</v>
      </c>
      <c r="BB21" s="11">
        <f>13000+1500</f>
        <v>14500</v>
      </c>
      <c r="BC21" s="10">
        <f t="shared" si="22"/>
        <v>14983.333333333332</v>
      </c>
      <c r="BD21" s="10">
        <f t="shared" si="23"/>
        <v>1258.5999999999999</v>
      </c>
      <c r="BE21" s="10">
        <f t="shared" si="23"/>
        <v>106.75624999999999</v>
      </c>
      <c r="BF21" s="10">
        <f t="shared" ref="BF21:BF28" si="30">SUM(BC21-BD21-BE21)</f>
        <v>13617.977083333331</v>
      </c>
      <c r="BG21" s="12">
        <f t="shared" si="5"/>
        <v>0</v>
      </c>
      <c r="BH21" s="13">
        <f t="shared" si="6"/>
        <v>13617.977083333331</v>
      </c>
      <c r="BI21" s="9">
        <v>0</v>
      </c>
      <c r="BJ21" s="7"/>
      <c r="BK21" s="7"/>
      <c r="BL21" s="10">
        <f t="shared" si="28"/>
        <v>0</v>
      </c>
      <c r="BM21" s="10">
        <f t="shared" si="8"/>
        <v>10488.333333333332</v>
      </c>
      <c r="BN21" s="10">
        <f t="shared" si="9"/>
        <v>2247.4999999999995</v>
      </c>
      <c r="BO21" s="10">
        <f t="shared" si="10"/>
        <v>1498.3333333333333</v>
      </c>
      <c r="BP21" s="10">
        <f t="shared" si="11"/>
        <v>749.16666666666663</v>
      </c>
      <c r="BQ21" s="10">
        <f>BM21*12%</f>
        <v>1258.5999999999999</v>
      </c>
      <c r="BR21" s="10">
        <f>IF(BB21&gt;21000,0,(BM21+BN21+BO21)*0.75%)</f>
        <v>106.75624999999999</v>
      </c>
      <c r="BS21" s="10">
        <f>BQ21+BR21</f>
        <v>1365.3562499999998</v>
      </c>
      <c r="BT21" s="10">
        <f>BM21*13%</f>
        <v>1363.4833333333331</v>
      </c>
      <c r="BU21" s="10">
        <f t="shared" ref="BU21:BU45" si="31">IF(BB21&gt;21000,0,(BM21+BN21+BO21)*3.25%)</f>
        <v>462.61041666666665</v>
      </c>
      <c r="BV21" s="10">
        <f>SUM(BT21+BU21)</f>
        <v>1826.0937499999998</v>
      </c>
    </row>
    <row r="22" spans="1:74" ht="15.75" thickBot="1">
      <c r="A22" s="26">
        <v>21</v>
      </c>
      <c r="B22" s="21" t="s">
        <v>43</v>
      </c>
      <c r="C22" s="21" t="s">
        <v>44</v>
      </c>
      <c r="D22" s="21" t="s">
        <v>67</v>
      </c>
      <c r="E22" s="27">
        <v>101893675468</v>
      </c>
      <c r="F22" s="27"/>
      <c r="G22" s="27" t="s">
        <v>62</v>
      </c>
      <c r="H22" s="21" t="s">
        <v>93</v>
      </c>
      <c r="I22" s="21" t="s">
        <v>94</v>
      </c>
      <c r="J22" s="21" t="s">
        <v>65</v>
      </c>
      <c r="K22" s="38" t="s">
        <v>95</v>
      </c>
      <c r="L22" s="28" t="s">
        <v>197</v>
      </c>
      <c r="M22" s="16">
        <f>30+1</f>
        <v>31</v>
      </c>
      <c r="N22" s="6"/>
      <c r="O22" s="10"/>
      <c r="P22" s="6"/>
      <c r="Q22" s="10"/>
      <c r="R22" s="6"/>
      <c r="S22" s="10"/>
      <c r="T22" s="6"/>
      <c r="U22" s="10"/>
      <c r="V22" s="6"/>
      <c r="W22" s="10"/>
      <c r="X22" s="6"/>
      <c r="Y22" s="10"/>
      <c r="Z22" s="6"/>
      <c r="AA22" s="10"/>
      <c r="AB22" s="6"/>
      <c r="AC22" s="10"/>
      <c r="AD22" s="6"/>
      <c r="AE22" s="10"/>
      <c r="AF22" s="6"/>
      <c r="AG22" s="10"/>
      <c r="AH22" s="6"/>
      <c r="AI22" s="10"/>
      <c r="AJ22" s="6"/>
      <c r="AK22" s="10"/>
      <c r="AL22" s="6"/>
      <c r="AM22" s="10"/>
      <c r="AN22" s="6"/>
      <c r="AO22" s="10"/>
      <c r="AP22" s="6"/>
      <c r="AQ22" s="10"/>
      <c r="AR22" s="6"/>
      <c r="AS22" s="10"/>
      <c r="AT22" s="6"/>
      <c r="AU22" s="6"/>
      <c r="AV22" s="8"/>
      <c r="AW22" s="10"/>
      <c r="AX22" s="8">
        <f t="shared" si="0"/>
        <v>0</v>
      </c>
      <c r="AY22" s="7">
        <f t="shared" si="29"/>
        <v>542.23958333333326</v>
      </c>
      <c r="AZ22" s="7">
        <f>BA22*AY22</f>
        <v>16809.427083333332</v>
      </c>
      <c r="BA22" s="10">
        <f t="shared" si="2"/>
        <v>31</v>
      </c>
      <c r="BB22" s="14">
        <f>13000+1500</f>
        <v>14500</v>
      </c>
      <c r="BC22" s="10">
        <f t="shared" si="22"/>
        <v>14983.333333333332</v>
      </c>
      <c r="BD22" s="10">
        <f t="shared" si="23"/>
        <v>1258.5999999999999</v>
      </c>
      <c r="BE22" s="10">
        <f t="shared" si="23"/>
        <v>106.75624999999999</v>
      </c>
      <c r="BF22" s="10">
        <f t="shared" si="30"/>
        <v>13617.977083333331</v>
      </c>
      <c r="BG22" s="12">
        <f t="shared" si="5"/>
        <v>0</v>
      </c>
      <c r="BH22" s="13">
        <f t="shared" si="6"/>
        <v>13617.977083333331</v>
      </c>
      <c r="BI22" s="9">
        <v>0</v>
      </c>
      <c r="BJ22" s="10"/>
      <c r="BK22" s="10"/>
      <c r="BL22" s="10">
        <f t="shared" si="28"/>
        <v>0</v>
      </c>
      <c r="BM22" s="10">
        <f t="shared" si="8"/>
        <v>10488.333333333332</v>
      </c>
      <c r="BN22" s="10">
        <f t="shared" si="9"/>
        <v>2247.4999999999995</v>
      </c>
      <c r="BO22" s="10">
        <f t="shared" si="10"/>
        <v>1498.3333333333333</v>
      </c>
      <c r="BP22" s="10">
        <f t="shared" si="11"/>
        <v>749.16666666666663</v>
      </c>
      <c r="BQ22" s="10">
        <f>BM22*12%</f>
        <v>1258.5999999999999</v>
      </c>
      <c r="BR22" s="10">
        <f>IF(BB22&gt;21000,0,(BM22+BN22+BO22)*0.75%)</f>
        <v>106.75624999999999</v>
      </c>
      <c r="BS22" s="10">
        <f>BQ22+BR22</f>
        <v>1365.3562499999998</v>
      </c>
      <c r="BT22" s="10">
        <f>BM22*13%</f>
        <v>1363.4833333333331</v>
      </c>
      <c r="BU22" s="10">
        <f t="shared" si="31"/>
        <v>462.61041666666665</v>
      </c>
      <c r="BV22" s="10">
        <f>SUM(BT22+BU22)</f>
        <v>1826.0937499999998</v>
      </c>
    </row>
    <row r="23" spans="1:74">
      <c r="A23" s="21">
        <v>22</v>
      </c>
      <c r="B23" s="21" t="s">
        <v>43</v>
      </c>
      <c r="C23" s="21" t="s">
        <v>44</v>
      </c>
      <c r="D23" s="21" t="s">
        <v>67</v>
      </c>
      <c r="E23" s="27">
        <v>101430041527</v>
      </c>
      <c r="F23" s="27"/>
      <c r="G23" s="27" t="s">
        <v>62</v>
      </c>
      <c r="H23" s="36" t="s">
        <v>96</v>
      </c>
      <c r="I23" s="27" t="s">
        <v>75</v>
      </c>
      <c r="J23" s="21" t="s">
        <v>65</v>
      </c>
      <c r="K23" s="28" t="s">
        <v>97</v>
      </c>
      <c r="L23" s="28" t="s">
        <v>197</v>
      </c>
      <c r="M23" s="15">
        <f>30-2.5+1</f>
        <v>28.5</v>
      </c>
      <c r="N23" s="6"/>
      <c r="O23" s="10"/>
      <c r="P23" s="6"/>
      <c r="Q23" s="10"/>
      <c r="R23" s="6"/>
      <c r="S23" s="10"/>
      <c r="T23" s="6"/>
      <c r="U23" s="10"/>
      <c r="V23" s="6"/>
      <c r="W23" s="10"/>
      <c r="X23" s="6"/>
      <c r="Y23" s="10"/>
      <c r="Z23" s="6"/>
      <c r="AA23" s="10"/>
      <c r="AB23" s="6"/>
      <c r="AC23" s="10"/>
      <c r="AD23" s="6"/>
      <c r="AE23" s="10"/>
      <c r="AF23" s="6"/>
      <c r="AG23" s="10"/>
      <c r="AH23" s="6"/>
      <c r="AI23" s="10"/>
      <c r="AJ23" s="6"/>
      <c r="AK23" s="10"/>
      <c r="AL23" s="6"/>
      <c r="AM23" s="10"/>
      <c r="AN23" s="6"/>
      <c r="AO23" s="10"/>
      <c r="AP23" s="6"/>
      <c r="AQ23" s="10"/>
      <c r="AR23" s="6"/>
      <c r="AS23" s="10"/>
      <c r="AT23" s="6"/>
      <c r="AU23" s="6"/>
      <c r="AV23" s="8"/>
      <c r="AW23" s="10"/>
      <c r="AX23" s="8">
        <f t="shared" si="0"/>
        <v>0</v>
      </c>
      <c r="AY23" s="7">
        <f t="shared" si="29"/>
        <v>560.9375</v>
      </c>
      <c r="AZ23" s="7">
        <f>BA23*AY23</f>
        <v>15986.71875</v>
      </c>
      <c r="BA23" s="10">
        <f t="shared" si="2"/>
        <v>28.5</v>
      </c>
      <c r="BB23" s="14">
        <f>13500+1500</f>
        <v>15000</v>
      </c>
      <c r="BC23" s="10">
        <f t="shared" si="22"/>
        <v>14250</v>
      </c>
      <c r="BD23" s="10">
        <f>BQ23</f>
        <v>1197</v>
      </c>
      <c r="BE23" s="10">
        <f>BR23</f>
        <v>101.53125</v>
      </c>
      <c r="BF23" s="10">
        <f t="shared" si="30"/>
        <v>12951.46875</v>
      </c>
      <c r="BG23" s="12">
        <f t="shared" si="5"/>
        <v>2000</v>
      </c>
      <c r="BH23" s="13">
        <f t="shared" si="6"/>
        <v>10951.46875</v>
      </c>
      <c r="BI23" s="9">
        <v>0</v>
      </c>
      <c r="BJ23" s="10">
        <v>2000</v>
      </c>
      <c r="BK23" s="10">
        <v>2000</v>
      </c>
      <c r="BL23" s="10">
        <f t="shared" si="28"/>
        <v>0</v>
      </c>
      <c r="BM23" s="10">
        <f t="shared" si="8"/>
        <v>9975</v>
      </c>
      <c r="BN23" s="10">
        <f t="shared" si="9"/>
        <v>2137.5</v>
      </c>
      <c r="BO23" s="10">
        <f t="shared" si="10"/>
        <v>1425</v>
      </c>
      <c r="BP23" s="10">
        <f t="shared" si="11"/>
        <v>712.5</v>
      </c>
      <c r="BQ23" s="10">
        <f>BM23*12%</f>
        <v>1197</v>
      </c>
      <c r="BR23" s="10">
        <f>IF(BB23&gt;21000,0,(BM23+BN23+BO23)*0.75%)</f>
        <v>101.53125</v>
      </c>
      <c r="BS23" s="10">
        <f t="shared" ref="BS23:BS28" si="32">BQ23+BR23</f>
        <v>1298.53125</v>
      </c>
      <c r="BT23" s="10">
        <f t="shared" ref="BT23:BT28" si="33">BM23*13%</f>
        <v>1296.75</v>
      </c>
      <c r="BU23" s="10">
        <f t="shared" si="31"/>
        <v>439.96875</v>
      </c>
      <c r="BV23" s="10">
        <f t="shared" ref="BV23:BV28" si="34">SUM(BT23+BU23)</f>
        <v>1736.71875</v>
      </c>
    </row>
    <row r="24" spans="1:74">
      <c r="A24" s="26">
        <v>23</v>
      </c>
      <c r="B24" s="26" t="s">
        <v>43</v>
      </c>
      <c r="C24" s="21" t="s">
        <v>44</v>
      </c>
      <c r="D24" s="26" t="s">
        <v>67</v>
      </c>
      <c r="E24" s="31" t="s">
        <v>98</v>
      </c>
      <c r="F24" s="31"/>
      <c r="G24" s="26" t="s">
        <v>62</v>
      </c>
      <c r="H24" s="31" t="s">
        <v>99</v>
      </c>
      <c r="I24" s="26" t="s">
        <v>100</v>
      </c>
      <c r="J24" s="26" t="s">
        <v>71</v>
      </c>
      <c r="K24" s="28" t="s">
        <v>101</v>
      </c>
      <c r="L24" s="28" t="s">
        <v>197</v>
      </c>
      <c r="M24" s="5">
        <f>30+1</f>
        <v>31</v>
      </c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6"/>
      <c r="AV24" s="8"/>
      <c r="AW24" s="7"/>
      <c r="AX24" s="8">
        <f t="shared" si="0"/>
        <v>0</v>
      </c>
      <c r="AY24" s="7">
        <f t="shared" si="29"/>
        <v>896.23655913978507</v>
      </c>
      <c r="AZ24" s="7">
        <f>BA24*AY24</f>
        <v>27783.333333333336</v>
      </c>
      <c r="BA24" s="10">
        <f t="shared" si="2"/>
        <v>31</v>
      </c>
      <c r="BB24" s="11">
        <v>25000</v>
      </c>
      <c r="BC24" s="10">
        <f t="shared" si="22"/>
        <v>25833.333333333336</v>
      </c>
      <c r="BD24" s="10">
        <f>BQ24</f>
        <v>1800</v>
      </c>
      <c r="BE24" s="10">
        <f>BR24</f>
        <v>0</v>
      </c>
      <c r="BF24" s="10">
        <f t="shared" si="30"/>
        <v>24033.333333333336</v>
      </c>
      <c r="BG24" s="12">
        <f t="shared" si="5"/>
        <v>0</v>
      </c>
      <c r="BH24" s="13">
        <f t="shared" ref="BH24:BH28" si="35">SUM(BF24-BG24)</f>
        <v>24033.333333333336</v>
      </c>
      <c r="BI24" s="9">
        <v>0</v>
      </c>
      <c r="BJ24" s="10"/>
      <c r="BK24" s="10"/>
      <c r="BL24" s="10">
        <f t="shared" si="28"/>
        <v>0</v>
      </c>
      <c r="BM24" s="10">
        <f t="shared" si="8"/>
        <v>15000</v>
      </c>
      <c r="BN24" s="10">
        <f t="shared" si="9"/>
        <v>3875</v>
      </c>
      <c r="BO24" s="10">
        <f t="shared" si="10"/>
        <v>2583.3333333333339</v>
      </c>
      <c r="BP24" s="10">
        <f t="shared" si="11"/>
        <v>1291.666666666667</v>
      </c>
      <c r="BQ24" s="10">
        <f>BM24*12%</f>
        <v>1800</v>
      </c>
      <c r="BR24" s="10">
        <f>IF(BB24&gt;21000,0,(BM24+BN24+BO24)*0.75%)</f>
        <v>0</v>
      </c>
      <c r="BS24" s="10">
        <f t="shared" si="32"/>
        <v>1800</v>
      </c>
      <c r="BT24" s="10">
        <f t="shared" si="33"/>
        <v>1950</v>
      </c>
      <c r="BU24" s="10">
        <f t="shared" si="31"/>
        <v>0</v>
      </c>
      <c r="BV24" s="10">
        <f t="shared" si="34"/>
        <v>1950</v>
      </c>
    </row>
    <row r="25" spans="1:74">
      <c r="A25" s="26">
        <v>24</v>
      </c>
      <c r="B25" s="21" t="s">
        <v>43</v>
      </c>
      <c r="C25" s="21" t="s">
        <v>44</v>
      </c>
      <c r="D25" s="21" t="s">
        <v>67</v>
      </c>
      <c r="E25" s="27">
        <v>101328677600</v>
      </c>
      <c r="F25" s="27"/>
      <c r="G25" s="27" t="s">
        <v>62</v>
      </c>
      <c r="H25" s="21" t="s">
        <v>102</v>
      </c>
      <c r="I25" s="21" t="s">
        <v>64</v>
      </c>
      <c r="J25" s="21" t="s">
        <v>65</v>
      </c>
      <c r="K25" s="28" t="s">
        <v>103</v>
      </c>
      <c r="L25" s="28" t="s">
        <v>197</v>
      </c>
      <c r="M25" s="17">
        <f>30+1</f>
        <v>31</v>
      </c>
      <c r="N25" s="6"/>
      <c r="O25" s="10"/>
      <c r="P25" s="6"/>
      <c r="Q25" s="10"/>
      <c r="R25" s="6"/>
      <c r="S25" s="10"/>
      <c r="T25" s="6"/>
      <c r="U25" s="10"/>
      <c r="V25" s="6"/>
      <c r="W25" s="10"/>
      <c r="X25" s="6"/>
      <c r="Y25" s="10"/>
      <c r="Z25" s="6"/>
      <c r="AA25" s="10"/>
      <c r="AB25" s="6"/>
      <c r="AC25" s="10"/>
      <c r="AD25" s="6"/>
      <c r="AE25" s="10"/>
      <c r="AF25" s="6"/>
      <c r="AG25" s="10"/>
      <c r="AH25" s="6"/>
      <c r="AI25" s="10"/>
      <c r="AJ25" s="6"/>
      <c r="AK25" s="10"/>
      <c r="AL25" s="6"/>
      <c r="AM25" s="10"/>
      <c r="AN25" s="6"/>
      <c r="AO25" s="10"/>
      <c r="AP25" s="6"/>
      <c r="AQ25" s="10"/>
      <c r="AR25" s="6"/>
      <c r="AS25" s="10"/>
      <c r="AT25" s="6"/>
      <c r="AU25" s="6"/>
      <c r="AV25" s="8"/>
      <c r="AW25" s="10"/>
      <c r="AX25" s="8">
        <f t="shared" si="0"/>
        <v>0</v>
      </c>
      <c r="AY25" s="7">
        <f t="shared" si="29"/>
        <v>766.61458333333337</v>
      </c>
      <c r="AZ25" s="7">
        <f t="shared" ref="AZ25:AZ28" si="36">BA25*AY25</f>
        <v>23765.052083333336</v>
      </c>
      <c r="BA25" s="10">
        <f t="shared" si="2"/>
        <v>31</v>
      </c>
      <c r="BB25" s="14">
        <f>19500+1000</f>
        <v>20500</v>
      </c>
      <c r="BC25" s="10">
        <f t="shared" si="22"/>
        <v>21183.333333333336</v>
      </c>
      <c r="BD25" s="10">
        <f>BQ25</f>
        <v>1779.4</v>
      </c>
      <c r="BE25" s="10">
        <f>BR25</f>
        <v>150.93125000000001</v>
      </c>
      <c r="BF25" s="10">
        <f t="shared" si="30"/>
        <v>19253.002083333333</v>
      </c>
      <c r="BG25" s="12">
        <f t="shared" si="5"/>
        <v>0</v>
      </c>
      <c r="BH25" s="13">
        <f t="shared" si="35"/>
        <v>19253.002083333333</v>
      </c>
      <c r="BI25" s="9">
        <v>0</v>
      </c>
      <c r="BJ25" s="10"/>
      <c r="BK25" s="10"/>
      <c r="BL25" s="10">
        <f t="shared" si="28"/>
        <v>0</v>
      </c>
      <c r="BM25" s="10">
        <f t="shared" si="8"/>
        <v>14828.333333333334</v>
      </c>
      <c r="BN25" s="10">
        <f t="shared" si="9"/>
        <v>3177.5000000000005</v>
      </c>
      <c r="BO25" s="10">
        <f t="shared" si="10"/>
        <v>2118.3333333333335</v>
      </c>
      <c r="BP25" s="10">
        <f t="shared" si="11"/>
        <v>1059.1666666666667</v>
      </c>
      <c r="BQ25" s="10">
        <f t="shared" ref="BQ25:BQ28" si="37">BM25*12%</f>
        <v>1779.4</v>
      </c>
      <c r="BR25" s="10">
        <f t="shared" ref="BR25:BR28" si="38">IF(BB25&gt;21000,0,(BM25+BN25+BO25)*0.75%)</f>
        <v>150.93125000000001</v>
      </c>
      <c r="BS25" s="10">
        <f t="shared" si="32"/>
        <v>1930.3312500000002</v>
      </c>
      <c r="BT25" s="10">
        <f t="shared" si="33"/>
        <v>1927.6833333333334</v>
      </c>
      <c r="BU25" s="10">
        <f t="shared" si="31"/>
        <v>654.03541666666672</v>
      </c>
      <c r="BV25" s="10">
        <f t="shared" si="34"/>
        <v>2581.71875</v>
      </c>
    </row>
    <row r="26" spans="1:74" ht="15.75" thickBot="1">
      <c r="A26" s="26">
        <v>25</v>
      </c>
      <c r="B26" s="26" t="s">
        <v>43</v>
      </c>
      <c r="C26" s="21" t="s">
        <v>44</v>
      </c>
      <c r="D26" s="26" t="s">
        <v>67</v>
      </c>
      <c r="E26" s="27">
        <v>101991911299</v>
      </c>
      <c r="F26" s="27">
        <v>5611301008</v>
      </c>
      <c r="G26" s="26" t="s">
        <v>62</v>
      </c>
      <c r="H26" s="31" t="s">
        <v>104</v>
      </c>
      <c r="I26" s="26" t="s">
        <v>105</v>
      </c>
      <c r="J26" s="26" t="s">
        <v>71</v>
      </c>
      <c r="K26" s="39" t="s">
        <v>106</v>
      </c>
      <c r="L26" s="28" t="s">
        <v>197</v>
      </c>
      <c r="M26" s="5">
        <f>30+1-1</f>
        <v>30</v>
      </c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6"/>
      <c r="AV26" s="8"/>
      <c r="AW26" s="7"/>
      <c r="AX26" s="8">
        <f t="shared" si="0"/>
        <v>0</v>
      </c>
      <c r="AY26" s="7">
        <f t="shared" si="29"/>
        <v>560.9375</v>
      </c>
      <c r="AZ26" s="7">
        <f t="shared" si="36"/>
        <v>16828.125</v>
      </c>
      <c r="BA26" s="10">
        <f t="shared" si="2"/>
        <v>30</v>
      </c>
      <c r="BB26" s="11">
        <v>15000</v>
      </c>
      <c r="BC26" s="10">
        <f t="shared" si="22"/>
        <v>15000</v>
      </c>
      <c r="BD26" s="10">
        <f>BQ26</f>
        <v>1260</v>
      </c>
      <c r="BE26" s="10">
        <f>BR26</f>
        <v>106.875</v>
      </c>
      <c r="BF26" s="10">
        <f t="shared" si="30"/>
        <v>13633.125</v>
      </c>
      <c r="BG26" s="12"/>
      <c r="BH26" s="13">
        <f t="shared" si="35"/>
        <v>13633.125</v>
      </c>
      <c r="BI26" s="9">
        <v>0</v>
      </c>
      <c r="BJ26" s="10"/>
      <c r="BK26" s="10"/>
      <c r="BL26" s="10">
        <f t="shared" si="28"/>
        <v>0</v>
      </c>
      <c r="BM26" s="10">
        <f t="shared" si="8"/>
        <v>10500</v>
      </c>
      <c r="BN26" s="10">
        <f t="shared" si="9"/>
        <v>2250</v>
      </c>
      <c r="BO26" s="10">
        <f t="shared" si="10"/>
        <v>1500</v>
      </c>
      <c r="BP26" s="10">
        <f t="shared" si="11"/>
        <v>750</v>
      </c>
      <c r="BQ26" s="10">
        <f t="shared" si="37"/>
        <v>1260</v>
      </c>
      <c r="BR26" s="10">
        <f t="shared" si="38"/>
        <v>106.875</v>
      </c>
      <c r="BS26" s="10">
        <f t="shared" si="32"/>
        <v>1366.875</v>
      </c>
      <c r="BT26" s="10">
        <f t="shared" si="33"/>
        <v>1365</v>
      </c>
      <c r="BU26" s="10">
        <f t="shared" si="31"/>
        <v>463.125</v>
      </c>
      <c r="BV26" s="10">
        <f t="shared" si="34"/>
        <v>1828.125</v>
      </c>
    </row>
    <row r="27" spans="1:74" ht="15.75" thickBot="1">
      <c r="A27" s="21">
        <v>26</v>
      </c>
      <c r="B27" s="26" t="s">
        <v>43</v>
      </c>
      <c r="C27" s="26" t="s">
        <v>22</v>
      </c>
      <c r="D27" s="26" t="s">
        <v>67</v>
      </c>
      <c r="E27" s="27">
        <v>102222746490</v>
      </c>
      <c r="F27" s="27"/>
      <c r="G27" s="26" t="s">
        <v>62</v>
      </c>
      <c r="H27" s="31" t="s">
        <v>107</v>
      </c>
      <c r="I27" s="21" t="s">
        <v>75</v>
      </c>
      <c r="J27" s="26" t="s">
        <v>65</v>
      </c>
      <c r="K27" s="40" t="s">
        <v>108</v>
      </c>
      <c r="L27" s="28" t="s">
        <v>197</v>
      </c>
      <c r="M27" s="18"/>
      <c r="N27" s="6"/>
      <c r="O27" s="10"/>
      <c r="P27" s="6"/>
      <c r="Q27" s="10"/>
      <c r="R27" s="6"/>
      <c r="S27" s="10"/>
      <c r="T27" s="6"/>
      <c r="U27" s="19"/>
      <c r="V27" s="6"/>
      <c r="W27" s="10"/>
      <c r="X27" s="6"/>
      <c r="Y27" s="10"/>
      <c r="Z27" s="6"/>
      <c r="AA27" s="10"/>
      <c r="AB27" s="6"/>
      <c r="AC27" s="10"/>
      <c r="AD27" s="6"/>
      <c r="AE27" s="10"/>
      <c r="AF27" s="6"/>
      <c r="AG27" s="10"/>
      <c r="AH27" s="6"/>
      <c r="AI27" s="10"/>
      <c r="AJ27" s="6"/>
      <c r="AK27" s="10"/>
      <c r="AL27" s="6"/>
      <c r="AM27" s="10"/>
      <c r="AN27" s="6"/>
      <c r="AO27" s="10"/>
      <c r="AP27" s="6"/>
      <c r="AQ27" s="10"/>
      <c r="AR27" s="6"/>
      <c r="AS27" s="10"/>
      <c r="AT27" s="6"/>
      <c r="AU27" s="6">
        <f>30+1</f>
        <v>31</v>
      </c>
      <c r="AV27" s="8"/>
      <c r="AW27" s="10"/>
      <c r="AX27" s="8">
        <f t="shared" si="0"/>
        <v>0</v>
      </c>
      <c r="AY27" s="7">
        <f t="shared" si="29"/>
        <v>448.75</v>
      </c>
      <c r="AZ27" s="7">
        <f t="shared" si="36"/>
        <v>13911.25</v>
      </c>
      <c r="BA27" s="10">
        <f t="shared" si="2"/>
        <v>31</v>
      </c>
      <c r="BB27" s="14">
        <v>12000</v>
      </c>
      <c r="BC27" s="10">
        <f t="shared" si="22"/>
        <v>12400</v>
      </c>
      <c r="BD27" s="10">
        <f>BQ27</f>
        <v>1041.5999999999999</v>
      </c>
      <c r="BE27" s="10">
        <f>BR27</f>
        <v>88.35</v>
      </c>
      <c r="BF27" s="10">
        <f t="shared" si="30"/>
        <v>11270.05</v>
      </c>
      <c r="BG27" s="12">
        <f>BK27</f>
        <v>0</v>
      </c>
      <c r="BH27" s="13">
        <f t="shared" si="35"/>
        <v>11270.05</v>
      </c>
      <c r="BI27" s="9">
        <v>0</v>
      </c>
      <c r="BJ27" s="10"/>
      <c r="BK27" s="10"/>
      <c r="BL27" s="10">
        <f t="shared" si="28"/>
        <v>0</v>
      </c>
      <c r="BM27" s="10">
        <f t="shared" si="8"/>
        <v>8680</v>
      </c>
      <c r="BN27" s="10">
        <f t="shared" si="9"/>
        <v>1860</v>
      </c>
      <c r="BO27" s="10">
        <f t="shared" si="10"/>
        <v>1240</v>
      </c>
      <c r="BP27" s="10">
        <f t="shared" si="11"/>
        <v>620</v>
      </c>
      <c r="BQ27" s="10">
        <f t="shared" si="37"/>
        <v>1041.5999999999999</v>
      </c>
      <c r="BR27" s="10">
        <f t="shared" si="38"/>
        <v>88.35</v>
      </c>
      <c r="BS27" s="10">
        <f t="shared" si="32"/>
        <v>1129.9499999999998</v>
      </c>
      <c r="BT27" s="10">
        <f t="shared" si="33"/>
        <v>1128.4000000000001</v>
      </c>
      <c r="BU27" s="10">
        <f t="shared" si="31"/>
        <v>382.85</v>
      </c>
      <c r="BV27" s="10">
        <f t="shared" si="34"/>
        <v>1511.25</v>
      </c>
    </row>
    <row r="28" spans="1:74">
      <c r="A28" s="26">
        <v>27</v>
      </c>
      <c r="B28" s="21" t="s">
        <v>43</v>
      </c>
      <c r="C28" s="21" t="s">
        <v>20</v>
      </c>
      <c r="D28" s="26" t="s">
        <v>67</v>
      </c>
      <c r="E28" s="27">
        <v>101840514770</v>
      </c>
      <c r="F28" s="27"/>
      <c r="G28" s="27" t="s">
        <v>62</v>
      </c>
      <c r="H28" s="37" t="s">
        <v>109</v>
      </c>
      <c r="I28" s="21" t="s">
        <v>64</v>
      </c>
      <c r="J28" s="21" t="s">
        <v>65</v>
      </c>
      <c r="K28" s="41" t="s">
        <v>110</v>
      </c>
      <c r="L28" s="28" t="s">
        <v>197</v>
      </c>
      <c r="M28" s="15"/>
      <c r="N28" s="6"/>
      <c r="O28" s="10"/>
      <c r="P28" s="6"/>
      <c r="Q28" s="10"/>
      <c r="R28" s="6"/>
      <c r="S28" s="10"/>
      <c r="T28" s="6"/>
      <c r="U28" s="10"/>
      <c r="V28" s="6"/>
      <c r="W28" s="10"/>
      <c r="X28" s="6"/>
      <c r="Y28" s="10"/>
      <c r="Z28" s="6"/>
      <c r="AA28" s="10"/>
      <c r="AB28" s="6"/>
      <c r="AC28" s="10"/>
      <c r="AD28" s="6"/>
      <c r="AE28" s="10"/>
      <c r="AF28" s="6"/>
      <c r="AG28" s="10"/>
      <c r="AH28" s="6"/>
      <c r="AI28" s="10"/>
      <c r="AJ28" s="6"/>
      <c r="AK28" s="10"/>
      <c r="AL28" s="6"/>
      <c r="AM28" s="10"/>
      <c r="AN28" s="6"/>
      <c r="AO28" s="10"/>
      <c r="AP28" s="6"/>
      <c r="AQ28" s="10">
        <f>30+1</f>
        <v>31</v>
      </c>
      <c r="AR28" s="6"/>
      <c r="AS28" s="10"/>
      <c r="AT28" s="6"/>
      <c r="AU28" s="6"/>
      <c r="AV28" s="8"/>
      <c r="AW28" s="10"/>
      <c r="AX28" s="8">
        <f t="shared" si="0"/>
        <v>0</v>
      </c>
      <c r="AY28" s="7">
        <f t="shared" si="29"/>
        <v>710.52083333333337</v>
      </c>
      <c r="AZ28" s="7">
        <f t="shared" si="36"/>
        <v>22026.145833333336</v>
      </c>
      <c r="BA28" s="10">
        <f t="shared" si="2"/>
        <v>31</v>
      </c>
      <c r="BB28" s="14">
        <f>16500+1500+1000</f>
        <v>19000</v>
      </c>
      <c r="BC28" s="10">
        <f t="shared" si="22"/>
        <v>19633.333333333336</v>
      </c>
      <c r="BD28" s="10">
        <f>BQ28</f>
        <v>1649.2</v>
      </c>
      <c r="BE28" s="10">
        <f>BR28</f>
        <v>139.88750000000002</v>
      </c>
      <c r="BF28" s="10">
        <f t="shared" si="30"/>
        <v>17844.245833333334</v>
      </c>
      <c r="BG28" s="12">
        <f>BK28</f>
        <v>0</v>
      </c>
      <c r="BH28" s="13">
        <f t="shared" si="35"/>
        <v>17844.245833333334</v>
      </c>
      <c r="BI28" s="9">
        <v>0</v>
      </c>
      <c r="BJ28" s="10"/>
      <c r="BK28" s="10"/>
      <c r="BL28" s="10">
        <f t="shared" si="28"/>
        <v>0</v>
      </c>
      <c r="BM28" s="10">
        <f t="shared" si="8"/>
        <v>13743.333333333334</v>
      </c>
      <c r="BN28" s="10">
        <f t="shared" si="9"/>
        <v>2945.0000000000005</v>
      </c>
      <c r="BO28" s="10">
        <f t="shared" si="10"/>
        <v>1963.3333333333337</v>
      </c>
      <c r="BP28" s="10">
        <f t="shared" si="11"/>
        <v>981.66666666666686</v>
      </c>
      <c r="BQ28" s="10">
        <f t="shared" si="37"/>
        <v>1649.2</v>
      </c>
      <c r="BR28" s="10">
        <f t="shared" si="38"/>
        <v>139.88750000000002</v>
      </c>
      <c r="BS28" s="10">
        <f t="shared" si="32"/>
        <v>1789.0875000000001</v>
      </c>
      <c r="BT28" s="10">
        <f t="shared" si="33"/>
        <v>1786.6333333333334</v>
      </c>
      <c r="BU28" s="10">
        <f t="shared" si="31"/>
        <v>606.17916666666667</v>
      </c>
      <c r="BV28" s="10">
        <f t="shared" si="34"/>
        <v>2392.8125</v>
      </c>
    </row>
    <row r="29" spans="1:74">
      <c r="A29" s="26">
        <v>28</v>
      </c>
      <c r="B29" s="21" t="s">
        <v>43</v>
      </c>
      <c r="C29" s="21" t="s">
        <v>8</v>
      </c>
      <c r="D29" s="21" t="s">
        <v>67</v>
      </c>
      <c r="E29" s="27">
        <v>102180359198</v>
      </c>
      <c r="F29" s="27"/>
      <c r="G29" s="27" t="s">
        <v>62</v>
      </c>
      <c r="H29" s="35" t="s">
        <v>111</v>
      </c>
      <c r="I29" s="27" t="s">
        <v>75</v>
      </c>
      <c r="J29" s="21" t="s">
        <v>71</v>
      </c>
      <c r="K29" s="28" t="s">
        <v>112</v>
      </c>
      <c r="L29" s="28" t="s">
        <v>197</v>
      </c>
      <c r="M29" s="10">
        <f>30+1</f>
        <v>31</v>
      </c>
      <c r="N29" s="6"/>
      <c r="O29" s="10"/>
      <c r="P29" s="6"/>
      <c r="Q29" s="10"/>
      <c r="R29" s="6"/>
      <c r="S29" s="10"/>
      <c r="T29" s="6"/>
      <c r="U29" s="19"/>
      <c r="V29" s="6"/>
      <c r="W29" s="10"/>
      <c r="X29" s="6"/>
      <c r="Y29" s="10"/>
      <c r="Z29" s="6"/>
      <c r="AA29" s="10"/>
      <c r="AB29" s="6"/>
      <c r="AC29" s="10"/>
      <c r="AD29" s="6"/>
      <c r="AE29" s="10"/>
      <c r="AF29" s="6"/>
      <c r="AG29" s="10"/>
      <c r="AH29" s="6"/>
      <c r="AI29" s="10"/>
      <c r="AJ29" s="6"/>
      <c r="AK29" s="10"/>
      <c r="AL29" s="6"/>
      <c r="AM29" s="10"/>
      <c r="AN29" s="6"/>
      <c r="AO29" s="10"/>
      <c r="AP29" s="6"/>
      <c r="AQ29" s="10"/>
      <c r="AR29" s="6"/>
      <c r="AS29" s="10"/>
      <c r="AT29" s="6"/>
      <c r="AU29" s="6"/>
      <c r="AV29" s="8"/>
      <c r="AW29" s="10"/>
      <c r="AX29" s="8">
        <f t="shared" si="0"/>
        <v>0</v>
      </c>
      <c r="AY29" s="7">
        <f t="shared" ref="AY29:AY40" si="39">SUM(BC29+BV29)/BA29</f>
        <v>523.54166666666674</v>
      </c>
      <c r="AZ29" s="7">
        <f>BA29*AY29</f>
        <v>16229.79166666667</v>
      </c>
      <c r="BA29" s="10">
        <f t="shared" si="2"/>
        <v>31</v>
      </c>
      <c r="BB29" s="14">
        <v>14000</v>
      </c>
      <c r="BC29" s="10">
        <f t="shared" si="22"/>
        <v>14466.666666666668</v>
      </c>
      <c r="BD29" s="10">
        <f>BQ29</f>
        <v>1215.1999999999998</v>
      </c>
      <c r="BE29" s="10">
        <f>BR29</f>
        <v>103.07499999999999</v>
      </c>
      <c r="BF29" s="10">
        <f t="shared" ref="BF29:BF34" si="40">SUM(BC29-BD29-BE29)</f>
        <v>13148.391666666666</v>
      </c>
      <c r="BG29" s="12">
        <f t="shared" ref="BG29:BG60" si="41">BK29</f>
        <v>0</v>
      </c>
      <c r="BH29" s="13">
        <f t="shared" ref="BH29:BH68" si="42">SUM(BF29-BG29)</f>
        <v>13148.391666666666</v>
      </c>
      <c r="BI29" s="9">
        <v>0</v>
      </c>
      <c r="BJ29" s="10"/>
      <c r="BK29" s="10"/>
      <c r="BL29" s="10">
        <f t="shared" ref="BL29:BL34" si="43">SUM(BI29+BJ29-BK29)</f>
        <v>0</v>
      </c>
      <c r="BM29" s="10">
        <f t="shared" si="8"/>
        <v>10126.666666666666</v>
      </c>
      <c r="BN29" s="10">
        <f t="shared" si="9"/>
        <v>2170</v>
      </c>
      <c r="BO29" s="10">
        <f t="shared" si="10"/>
        <v>1446.666666666667</v>
      </c>
      <c r="BP29" s="10">
        <f t="shared" si="11"/>
        <v>723.33333333333348</v>
      </c>
      <c r="BQ29" s="10">
        <f>BM29*12%</f>
        <v>1215.1999999999998</v>
      </c>
      <c r="BR29" s="10">
        <f>IF(BB29&gt;21000,0,(BM29+BN29+BO29)*0.75%)</f>
        <v>103.07499999999999</v>
      </c>
      <c r="BS29" s="10">
        <f>BQ29+BR29</f>
        <v>1318.2749999999999</v>
      </c>
      <c r="BT29" s="10">
        <f>BM29*13%</f>
        <v>1316.4666666666667</v>
      </c>
      <c r="BU29" s="10">
        <f t="shared" si="31"/>
        <v>446.6583333333333</v>
      </c>
      <c r="BV29" s="10">
        <f>SUM(BT29+BU29)</f>
        <v>1763.125</v>
      </c>
    </row>
    <row r="30" spans="1:74">
      <c r="A30" s="26">
        <v>29</v>
      </c>
      <c r="B30" s="21" t="s">
        <v>43</v>
      </c>
      <c r="C30" s="21" t="s">
        <v>44</v>
      </c>
      <c r="D30" s="26" t="s">
        <v>67</v>
      </c>
      <c r="E30" s="27">
        <v>100157991563</v>
      </c>
      <c r="F30" s="27"/>
      <c r="G30" s="26" t="s">
        <v>62</v>
      </c>
      <c r="H30" s="21" t="s">
        <v>113</v>
      </c>
      <c r="I30" s="21" t="s">
        <v>64</v>
      </c>
      <c r="J30" s="26" t="s">
        <v>71</v>
      </c>
      <c r="K30" s="28" t="s">
        <v>114</v>
      </c>
      <c r="L30" s="28" t="s">
        <v>197</v>
      </c>
      <c r="M30" s="10">
        <f>30+1</f>
        <v>31</v>
      </c>
      <c r="N30" s="6"/>
      <c r="O30" s="10"/>
      <c r="P30" s="6"/>
      <c r="Q30" s="10"/>
      <c r="R30" s="6"/>
      <c r="S30" s="10"/>
      <c r="T30" s="6"/>
      <c r="U30" s="19"/>
      <c r="V30" s="6"/>
      <c r="W30" s="10"/>
      <c r="X30" s="6"/>
      <c r="Y30" s="10"/>
      <c r="Z30" s="6"/>
      <c r="AA30" s="10"/>
      <c r="AB30" s="6"/>
      <c r="AC30" s="10"/>
      <c r="AD30" s="6"/>
      <c r="AE30" s="10"/>
      <c r="AF30" s="6"/>
      <c r="AG30" s="10"/>
      <c r="AH30" s="6"/>
      <c r="AI30" s="10"/>
      <c r="AJ30" s="6"/>
      <c r="AK30" s="10"/>
      <c r="AL30" s="6"/>
      <c r="AM30" s="10"/>
      <c r="AN30" s="6"/>
      <c r="AO30" s="10"/>
      <c r="AP30" s="6"/>
      <c r="AQ30" s="10"/>
      <c r="AR30" s="6"/>
      <c r="AS30" s="10"/>
      <c r="AT30" s="6"/>
      <c r="AU30" s="6"/>
      <c r="AV30" s="8"/>
      <c r="AW30" s="10"/>
      <c r="AX30" s="8">
        <f t="shared" si="0"/>
        <v>0</v>
      </c>
      <c r="AY30" s="7">
        <f t="shared" si="39"/>
        <v>710.52083333333337</v>
      </c>
      <c r="AZ30" s="7">
        <f>BA30*AY30</f>
        <v>22026.145833333336</v>
      </c>
      <c r="BA30" s="10">
        <f t="shared" si="2"/>
        <v>31</v>
      </c>
      <c r="BB30" s="14">
        <v>19000</v>
      </c>
      <c r="BC30" s="10">
        <f t="shared" si="22"/>
        <v>19633.333333333336</v>
      </c>
      <c r="BD30" s="10">
        <f>BQ30</f>
        <v>1649.2</v>
      </c>
      <c r="BE30" s="10">
        <f>BR30</f>
        <v>139.88750000000002</v>
      </c>
      <c r="BF30" s="10">
        <f t="shared" si="40"/>
        <v>17844.245833333334</v>
      </c>
      <c r="BG30" s="12">
        <f t="shared" si="41"/>
        <v>0</v>
      </c>
      <c r="BH30" s="13">
        <f t="shared" si="42"/>
        <v>17844.245833333334</v>
      </c>
      <c r="BI30" s="9">
        <v>0</v>
      </c>
      <c r="BJ30" s="10"/>
      <c r="BK30" s="10"/>
      <c r="BL30" s="10">
        <f t="shared" si="43"/>
        <v>0</v>
      </c>
      <c r="BM30" s="10">
        <f t="shared" si="8"/>
        <v>13743.333333333334</v>
      </c>
      <c r="BN30" s="10">
        <f t="shared" si="9"/>
        <v>2945.0000000000005</v>
      </c>
      <c r="BO30" s="10">
        <f t="shared" si="10"/>
        <v>1963.3333333333337</v>
      </c>
      <c r="BP30" s="10">
        <f t="shared" si="11"/>
        <v>981.66666666666686</v>
      </c>
      <c r="BQ30" s="10">
        <f>BM30*12%</f>
        <v>1649.2</v>
      </c>
      <c r="BR30" s="10">
        <f>IF(BB30&gt;21000,0,(BM30+BN30+BO30)*0.75%)</f>
        <v>139.88750000000002</v>
      </c>
      <c r="BS30" s="10">
        <f>BQ30+BR30</f>
        <v>1789.0875000000001</v>
      </c>
      <c r="BT30" s="10">
        <f>BM30*13%</f>
        <v>1786.6333333333334</v>
      </c>
      <c r="BU30" s="10">
        <f t="shared" si="31"/>
        <v>606.17916666666667</v>
      </c>
      <c r="BV30" s="10">
        <f>SUM(BT30+BU30)</f>
        <v>2392.8125</v>
      </c>
    </row>
    <row r="31" spans="1:74">
      <c r="A31" s="21">
        <v>30</v>
      </c>
      <c r="B31" s="21" t="s">
        <v>43</v>
      </c>
      <c r="C31" s="21" t="s">
        <v>44</v>
      </c>
      <c r="D31" s="21" t="s">
        <v>61</v>
      </c>
      <c r="E31" s="27">
        <v>101836678601</v>
      </c>
      <c r="F31" s="27"/>
      <c r="G31" s="27" t="s">
        <v>62</v>
      </c>
      <c r="H31" s="35" t="s">
        <v>115</v>
      </c>
      <c r="I31" s="21" t="s">
        <v>64</v>
      </c>
      <c r="J31" s="21" t="s">
        <v>65</v>
      </c>
      <c r="K31" s="28" t="s">
        <v>116</v>
      </c>
      <c r="L31" s="28" t="s">
        <v>197</v>
      </c>
      <c r="M31" s="5">
        <f>30-1+1</f>
        <v>30</v>
      </c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6"/>
      <c r="AV31" s="8"/>
      <c r="AW31" s="7"/>
      <c r="AX31" s="8">
        <f t="shared" si="0"/>
        <v>0</v>
      </c>
      <c r="AY31" s="7">
        <f t="shared" si="39"/>
        <v>785.3125</v>
      </c>
      <c r="AZ31" s="7">
        <f>BA31*AY31</f>
        <v>23559.375</v>
      </c>
      <c r="BA31" s="10">
        <f t="shared" si="2"/>
        <v>30</v>
      </c>
      <c r="BB31" s="11">
        <f>19500+1500</f>
        <v>21000</v>
      </c>
      <c r="BC31" s="10">
        <f t="shared" ref="BC31:BC41" si="44">SUM(BB31/30*BA31)</f>
        <v>21000</v>
      </c>
      <c r="BD31" s="10">
        <f>SUM(BB31*70%)*12%</f>
        <v>1763.9999999999998</v>
      </c>
      <c r="BE31" s="10">
        <f>BR31</f>
        <v>149.625</v>
      </c>
      <c r="BF31" s="10">
        <f t="shared" si="40"/>
        <v>19086.375</v>
      </c>
      <c r="BG31" s="12">
        <f t="shared" si="41"/>
        <v>5000</v>
      </c>
      <c r="BH31" s="13">
        <f t="shared" si="42"/>
        <v>14086.375</v>
      </c>
      <c r="BI31" s="9">
        <v>53000</v>
      </c>
      <c r="BJ31" s="10">
        <v>1470</v>
      </c>
      <c r="BK31" s="10">
        <v>5000</v>
      </c>
      <c r="BL31" s="10">
        <f t="shared" si="43"/>
        <v>49470</v>
      </c>
      <c r="BM31" s="10">
        <f t="shared" si="8"/>
        <v>14699.999999999998</v>
      </c>
      <c r="BN31" s="10">
        <f t="shared" si="9"/>
        <v>3150</v>
      </c>
      <c r="BO31" s="10">
        <f t="shared" si="10"/>
        <v>2100</v>
      </c>
      <c r="BP31" s="10">
        <f t="shared" si="11"/>
        <v>1050</v>
      </c>
      <c r="BQ31" s="10">
        <f>BM31*12%</f>
        <v>1763.9999999999998</v>
      </c>
      <c r="BR31" s="10">
        <f>IF(BB31&gt;21000,0,(BM31+BN31+BO31)*0.75%)</f>
        <v>149.625</v>
      </c>
      <c r="BS31" s="10">
        <f>BQ31+BR31</f>
        <v>1913.6249999999998</v>
      </c>
      <c r="BT31" s="10">
        <f>BM31*13%</f>
        <v>1910.9999999999998</v>
      </c>
      <c r="BU31" s="10">
        <f t="shared" si="31"/>
        <v>648.375</v>
      </c>
      <c r="BV31" s="10">
        <f>SUM(BT31+BU31)</f>
        <v>2559.375</v>
      </c>
    </row>
    <row r="32" spans="1:74">
      <c r="A32" s="26">
        <v>31</v>
      </c>
      <c r="B32" s="21" t="s">
        <v>43</v>
      </c>
      <c r="C32" s="21" t="s">
        <v>44</v>
      </c>
      <c r="D32" s="26" t="s">
        <v>67</v>
      </c>
      <c r="E32" s="27">
        <v>101652395704</v>
      </c>
      <c r="F32" s="27"/>
      <c r="G32" s="27" t="s">
        <v>62</v>
      </c>
      <c r="H32" s="29" t="s">
        <v>117</v>
      </c>
      <c r="I32" s="37" t="s">
        <v>75</v>
      </c>
      <c r="J32" s="21" t="s">
        <v>71</v>
      </c>
      <c r="K32" s="28" t="s">
        <v>118</v>
      </c>
      <c r="L32" s="28" t="s">
        <v>197</v>
      </c>
      <c r="M32" s="5">
        <f>30+1-1</f>
        <v>30</v>
      </c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6"/>
      <c r="AV32" s="8"/>
      <c r="AW32" s="7"/>
      <c r="AX32" s="8">
        <f t="shared" si="0"/>
        <v>0</v>
      </c>
      <c r="AY32" s="7">
        <f t="shared" si="39"/>
        <v>1265</v>
      </c>
      <c r="AZ32" s="7">
        <f>BA32*AY32</f>
        <v>37950</v>
      </c>
      <c r="BA32" s="10">
        <f t="shared" si="2"/>
        <v>30</v>
      </c>
      <c r="BB32" s="14">
        <f>34000+2000</f>
        <v>36000</v>
      </c>
      <c r="BC32" s="10">
        <f t="shared" si="44"/>
        <v>36000</v>
      </c>
      <c r="BD32" s="10">
        <f>BQ32</f>
        <v>1800</v>
      </c>
      <c r="BE32" s="10">
        <f>BR32</f>
        <v>0</v>
      </c>
      <c r="BF32" s="10">
        <f t="shared" si="40"/>
        <v>34200</v>
      </c>
      <c r="BG32" s="12">
        <f t="shared" si="41"/>
        <v>0</v>
      </c>
      <c r="BH32" s="13">
        <f t="shared" si="42"/>
        <v>34200</v>
      </c>
      <c r="BI32" s="9">
        <v>0</v>
      </c>
      <c r="BJ32" s="10"/>
      <c r="BK32" s="10"/>
      <c r="BL32" s="10">
        <f t="shared" si="43"/>
        <v>0</v>
      </c>
      <c r="BM32" s="10">
        <f t="shared" si="8"/>
        <v>15000</v>
      </c>
      <c r="BN32" s="10">
        <f t="shared" si="9"/>
        <v>5400</v>
      </c>
      <c r="BO32" s="10">
        <f t="shared" si="10"/>
        <v>3600</v>
      </c>
      <c r="BP32" s="10">
        <f t="shared" si="11"/>
        <v>1800</v>
      </c>
      <c r="BQ32" s="10">
        <f>BM32*12%</f>
        <v>1800</v>
      </c>
      <c r="BR32" s="10">
        <f>IF(BB32&gt;21000,0,(BM32+BN32+BO32)*0.75%)</f>
        <v>0</v>
      </c>
      <c r="BS32" s="10">
        <f>BQ32+BR32</f>
        <v>1800</v>
      </c>
      <c r="BT32" s="10">
        <f>BM32*13%</f>
        <v>1950</v>
      </c>
      <c r="BU32" s="10">
        <f t="shared" si="31"/>
        <v>0</v>
      </c>
      <c r="BV32" s="10">
        <f>SUM(BT32+BU32)</f>
        <v>1950</v>
      </c>
    </row>
    <row r="33" spans="1:74">
      <c r="A33" s="26">
        <v>32</v>
      </c>
      <c r="B33" s="21" t="s">
        <v>43</v>
      </c>
      <c r="C33" s="21" t="s">
        <v>21</v>
      </c>
      <c r="D33" s="26" t="s">
        <v>67</v>
      </c>
      <c r="E33" s="27">
        <v>101960448934</v>
      </c>
      <c r="F33" s="27"/>
      <c r="G33" s="26" t="s">
        <v>62</v>
      </c>
      <c r="H33" s="37">
        <v>60444555712</v>
      </c>
      <c r="I33" s="37" t="s">
        <v>64</v>
      </c>
      <c r="J33" s="26" t="s">
        <v>71</v>
      </c>
      <c r="K33" s="28" t="s">
        <v>119</v>
      </c>
      <c r="L33" s="28" t="s">
        <v>197</v>
      </c>
      <c r="M33" s="5">
        <f>30+1</f>
        <v>31</v>
      </c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6"/>
      <c r="AV33" s="8"/>
      <c r="AW33" s="7"/>
      <c r="AX33" s="8">
        <f t="shared" si="0"/>
        <v>0</v>
      </c>
      <c r="AY33" s="7">
        <f t="shared" si="39"/>
        <v>560.9375</v>
      </c>
      <c r="AZ33" s="7">
        <f>BA33*AY33</f>
        <v>17389.0625</v>
      </c>
      <c r="BA33" s="10">
        <f t="shared" si="2"/>
        <v>31</v>
      </c>
      <c r="BB33" s="14">
        <v>15000</v>
      </c>
      <c r="BC33" s="10">
        <f t="shared" si="44"/>
        <v>15500</v>
      </c>
      <c r="BD33" s="10">
        <f t="shared" ref="BD33:BE34" si="45">BQ33</f>
        <v>1302</v>
      </c>
      <c r="BE33" s="10">
        <f t="shared" si="45"/>
        <v>110.4375</v>
      </c>
      <c r="BF33" s="10">
        <f t="shared" si="40"/>
        <v>14087.5625</v>
      </c>
      <c r="BG33" s="12">
        <f t="shared" si="41"/>
        <v>0</v>
      </c>
      <c r="BH33" s="13">
        <f t="shared" si="42"/>
        <v>14087.5625</v>
      </c>
      <c r="BI33" s="9">
        <v>0</v>
      </c>
      <c r="BJ33" s="10"/>
      <c r="BK33" s="10"/>
      <c r="BL33" s="10">
        <f t="shared" si="43"/>
        <v>0</v>
      </c>
      <c r="BM33" s="10">
        <f t="shared" si="8"/>
        <v>10850</v>
      </c>
      <c r="BN33" s="10">
        <f t="shared" si="9"/>
        <v>2325</v>
      </c>
      <c r="BO33" s="10">
        <f t="shared" si="10"/>
        <v>1550</v>
      </c>
      <c r="BP33" s="10">
        <f t="shared" si="11"/>
        <v>775</v>
      </c>
      <c r="BQ33" s="10">
        <f>BM33*12%</f>
        <v>1302</v>
      </c>
      <c r="BR33" s="10">
        <f>IF(BB33&gt;21000,0,(BM33+BN33+BO33)*0.75%)</f>
        <v>110.4375</v>
      </c>
      <c r="BS33" s="10">
        <f>BQ33+BR33</f>
        <v>1412.4375</v>
      </c>
      <c r="BT33" s="10">
        <f>BM33*13%</f>
        <v>1410.5</v>
      </c>
      <c r="BU33" s="10">
        <f t="shared" si="31"/>
        <v>478.5625</v>
      </c>
      <c r="BV33" s="10">
        <f>SUM(BT33+BU33)</f>
        <v>1889.0625</v>
      </c>
    </row>
    <row r="34" spans="1:74">
      <c r="A34" s="26">
        <v>33</v>
      </c>
      <c r="B34" s="21" t="s">
        <v>43</v>
      </c>
      <c r="C34" s="21" t="s">
        <v>8</v>
      </c>
      <c r="D34" s="21" t="s">
        <v>67</v>
      </c>
      <c r="E34" s="27">
        <v>101746450652</v>
      </c>
      <c r="F34" s="27"/>
      <c r="G34" s="27" t="s">
        <v>62</v>
      </c>
      <c r="H34" s="35" t="s">
        <v>120</v>
      </c>
      <c r="I34" s="21" t="s">
        <v>75</v>
      </c>
      <c r="J34" s="21" t="s">
        <v>71</v>
      </c>
      <c r="K34" s="34" t="s">
        <v>121</v>
      </c>
      <c r="L34" s="28" t="s">
        <v>197</v>
      </c>
      <c r="M34" s="5"/>
      <c r="N34" s="6"/>
      <c r="O34" s="7"/>
      <c r="P34" s="6"/>
      <c r="Q34" s="7"/>
      <c r="R34" s="6"/>
      <c r="S34" s="7">
        <v>7</v>
      </c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6"/>
      <c r="AV34" s="8"/>
      <c r="AW34" s="7"/>
      <c r="AX34" s="8">
        <f t="shared" si="0"/>
        <v>0</v>
      </c>
      <c r="AY34" s="7">
        <f t="shared" si="39"/>
        <v>504.84375</v>
      </c>
      <c r="AZ34" s="7">
        <f>BA34*AY34</f>
        <v>3533.90625</v>
      </c>
      <c r="BA34" s="10">
        <f t="shared" si="2"/>
        <v>7</v>
      </c>
      <c r="BB34" s="14">
        <f>12000+1500</f>
        <v>13500</v>
      </c>
      <c r="BC34" s="10">
        <f t="shared" si="44"/>
        <v>3150</v>
      </c>
      <c r="BD34" s="10">
        <f t="shared" si="45"/>
        <v>264.59999999999997</v>
      </c>
      <c r="BE34" s="10">
        <f t="shared" si="45"/>
        <v>22.443749999999998</v>
      </c>
      <c r="BF34" s="10">
        <f t="shared" si="40"/>
        <v>2862.9562500000002</v>
      </c>
      <c r="BG34" s="12">
        <f t="shared" si="41"/>
        <v>0</v>
      </c>
      <c r="BH34" s="13">
        <f t="shared" si="42"/>
        <v>2862.9562500000002</v>
      </c>
      <c r="BI34" s="9">
        <v>0</v>
      </c>
      <c r="BJ34" s="10"/>
      <c r="BK34" s="10"/>
      <c r="BL34" s="10">
        <f t="shared" si="43"/>
        <v>0</v>
      </c>
      <c r="BM34" s="10">
        <f t="shared" si="8"/>
        <v>2205</v>
      </c>
      <c r="BN34" s="10">
        <f t="shared" si="9"/>
        <v>472.5</v>
      </c>
      <c r="BO34" s="10">
        <f t="shared" si="10"/>
        <v>315</v>
      </c>
      <c r="BP34" s="10">
        <f t="shared" si="11"/>
        <v>157.5</v>
      </c>
      <c r="BQ34" s="10">
        <f>BM34*12%</f>
        <v>264.59999999999997</v>
      </c>
      <c r="BR34" s="10">
        <f>IF(BB34&gt;21000,0,(BM34+BN34+BO34)*0.75%)</f>
        <v>22.443749999999998</v>
      </c>
      <c r="BS34" s="10">
        <f>BQ34+BR34</f>
        <v>287.04374999999999</v>
      </c>
      <c r="BT34" s="10">
        <f>BM34*13%</f>
        <v>286.65000000000003</v>
      </c>
      <c r="BU34" s="10">
        <f t="shared" si="31"/>
        <v>97.256250000000009</v>
      </c>
      <c r="BV34" s="10">
        <f>SUM(BT34+BU34)</f>
        <v>383.90625000000006</v>
      </c>
    </row>
    <row r="35" spans="1:74">
      <c r="A35" s="21">
        <v>34</v>
      </c>
      <c r="B35" s="21" t="s">
        <v>43</v>
      </c>
      <c r="C35" s="21" t="s">
        <v>19</v>
      </c>
      <c r="D35" s="21" t="s">
        <v>67</v>
      </c>
      <c r="E35" s="27">
        <v>101840514696</v>
      </c>
      <c r="F35" s="27"/>
      <c r="G35" s="27" t="s">
        <v>62</v>
      </c>
      <c r="H35" s="21" t="s">
        <v>122</v>
      </c>
      <c r="I35" s="21" t="s">
        <v>64</v>
      </c>
      <c r="J35" s="21" t="s">
        <v>65</v>
      </c>
      <c r="K35" s="28" t="s">
        <v>123</v>
      </c>
      <c r="L35" s="28" t="s">
        <v>197</v>
      </c>
      <c r="M35" s="15"/>
      <c r="N35" s="6"/>
      <c r="O35" s="10"/>
      <c r="P35" s="6"/>
      <c r="Q35" s="10"/>
      <c r="R35" s="6"/>
      <c r="S35" s="10"/>
      <c r="T35" s="6"/>
      <c r="U35" s="10"/>
      <c r="V35" s="6"/>
      <c r="W35" s="10"/>
      <c r="X35" s="6"/>
      <c r="Y35" s="10"/>
      <c r="Z35" s="6"/>
      <c r="AA35" s="10"/>
      <c r="AB35" s="6"/>
      <c r="AC35" s="10"/>
      <c r="AD35" s="6"/>
      <c r="AE35" s="10"/>
      <c r="AF35" s="6"/>
      <c r="AG35" s="10"/>
      <c r="AH35" s="6"/>
      <c r="AI35" s="10"/>
      <c r="AJ35" s="6"/>
      <c r="AK35" s="10"/>
      <c r="AL35" s="6"/>
      <c r="AM35" s="10"/>
      <c r="AN35" s="6"/>
      <c r="AO35" s="10">
        <f>30+1</f>
        <v>31</v>
      </c>
      <c r="AP35" s="6"/>
      <c r="AQ35" s="10"/>
      <c r="AR35" s="6"/>
      <c r="AS35" s="10"/>
      <c r="AT35" s="6"/>
      <c r="AU35" s="6"/>
      <c r="AV35" s="8"/>
      <c r="AW35" s="10"/>
      <c r="AX35" s="8">
        <f t="shared" si="0"/>
        <v>0</v>
      </c>
      <c r="AY35" s="7">
        <f t="shared" si="39"/>
        <v>812.90322580645159</v>
      </c>
      <c r="AZ35" s="7">
        <f t="shared" ref="AZ35:AZ39" si="46">BA35*AY35</f>
        <v>25200</v>
      </c>
      <c r="BA35" s="10">
        <f t="shared" si="2"/>
        <v>31</v>
      </c>
      <c r="BB35" s="14">
        <f>21500+1000</f>
        <v>22500</v>
      </c>
      <c r="BC35" s="10">
        <f t="shared" si="44"/>
        <v>23250</v>
      </c>
      <c r="BD35" s="10">
        <f>BQ35</f>
        <v>1800</v>
      </c>
      <c r="BE35" s="10">
        <f>BR35</f>
        <v>0</v>
      </c>
      <c r="BF35" s="10">
        <f t="shared" ref="BF35:BF38" si="47">SUM(BC35-BD35-BE35)</f>
        <v>21450</v>
      </c>
      <c r="BG35" s="12">
        <f t="shared" si="41"/>
        <v>0</v>
      </c>
      <c r="BH35" s="13">
        <f t="shared" si="42"/>
        <v>21450</v>
      </c>
      <c r="BI35" s="9">
        <v>0</v>
      </c>
      <c r="BJ35" s="10"/>
      <c r="BK35" s="10"/>
      <c r="BL35" s="10">
        <f t="shared" ref="BL35:BL38" si="48">SUM(BI35+BJ35-BK35)</f>
        <v>0</v>
      </c>
      <c r="BM35" s="10">
        <f t="shared" si="8"/>
        <v>15000</v>
      </c>
      <c r="BN35" s="10">
        <f t="shared" si="9"/>
        <v>3487.5</v>
      </c>
      <c r="BO35" s="10">
        <f t="shared" si="10"/>
        <v>2325</v>
      </c>
      <c r="BP35" s="10">
        <f t="shared" si="11"/>
        <v>1162.5</v>
      </c>
      <c r="BQ35" s="10">
        <f>BM35*12%</f>
        <v>1800</v>
      </c>
      <c r="BR35" s="10">
        <f>IF(BB35&gt;21000,0,(BM35+BN35+BO35)*0.75%)</f>
        <v>0</v>
      </c>
      <c r="BS35" s="10">
        <f>BQ35+BR35</f>
        <v>1800</v>
      </c>
      <c r="BT35" s="10">
        <f>BM35*13%</f>
        <v>1950</v>
      </c>
      <c r="BU35" s="10">
        <f t="shared" si="31"/>
        <v>0</v>
      </c>
      <c r="BV35" s="10">
        <f>SUM(BT35+BU35)</f>
        <v>1950</v>
      </c>
    </row>
    <row r="36" spans="1:74">
      <c r="A36" s="26">
        <v>35</v>
      </c>
      <c r="B36" s="21" t="s">
        <v>43</v>
      </c>
      <c r="C36" s="21" t="s">
        <v>44</v>
      </c>
      <c r="D36" s="21" t="s">
        <v>67</v>
      </c>
      <c r="E36" s="27">
        <v>100398547615</v>
      </c>
      <c r="F36" s="27"/>
      <c r="G36" s="27" t="s">
        <v>62</v>
      </c>
      <c r="H36" s="21" t="s">
        <v>124</v>
      </c>
      <c r="I36" s="21" t="s">
        <v>64</v>
      </c>
      <c r="J36" s="21" t="s">
        <v>65</v>
      </c>
      <c r="K36" s="28" t="s">
        <v>125</v>
      </c>
      <c r="L36" s="28" t="s">
        <v>198</v>
      </c>
      <c r="M36" s="15">
        <v>30</v>
      </c>
      <c r="N36" s="6"/>
      <c r="O36" s="10"/>
      <c r="P36" s="6"/>
      <c r="Q36" s="10"/>
      <c r="R36" s="6"/>
      <c r="S36" s="10"/>
      <c r="T36" s="6"/>
      <c r="U36" s="10"/>
      <c r="V36" s="6"/>
      <c r="W36" s="10"/>
      <c r="X36" s="6"/>
      <c r="Y36" s="10"/>
      <c r="Z36" s="6"/>
      <c r="AA36" s="10"/>
      <c r="AB36" s="6"/>
      <c r="AC36" s="10"/>
      <c r="AD36" s="6"/>
      <c r="AE36" s="10"/>
      <c r="AF36" s="6"/>
      <c r="AG36" s="10"/>
      <c r="AH36" s="6"/>
      <c r="AI36" s="10"/>
      <c r="AJ36" s="6"/>
      <c r="AK36" s="10"/>
      <c r="AL36" s="6"/>
      <c r="AM36" s="10"/>
      <c r="AN36" s="6"/>
      <c r="AO36" s="10"/>
      <c r="AP36" s="6"/>
      <c r="AQ36" s="10"/>
      <c r="AR36" s="6"/>
      <c r="AS36" s="10"/>
      <c r="AT36" s="6"/>
      <c r="AU36" s="6"/>
      <c r="AV36" s="8"/>
      <c r="AW36" s="10"/>
      <c r="AX36" s="8">
        <f t="shared" si="0"/>
        <v>0</v>
      </c>
      <c r="AY36" s="7">
        <f t="shared" si="39"/>
        <v>3065</v>
      </c>
      <c r="AZ36" s="7">
        <f t="shared" si="46"/>
        <v>91950</v>
      </c>
      <c r="BA36" s="10">
        <f t="shared" si="2"/>
        <v>30</v>
      </c>
      <c r="BB36" s="14">
        <f>50000+40000</f>
        <v>90000</v>
      </c>
      <c r="BC36" s="10">
        <f t="shared" si="44"/>
        <v>90000</v>
      </c>
      <c r="BD36" s="10">
        <f t="shared" ref="BD36:BE37" si="49">BQ36</f>
        <v>1800</v>
      </c>
      <c r="BE36" s="10">
        <f t="shared" si="49"/>
        <v>0</v>
      </c>
      <c r="BF36" s="10">
        <f t="shared" si="47"/>
        <v>88200</v>
      </c>
      <c r="BG36" s="12">
        <f t="shared" si="41"/>
        <v>35970</v>
      </c>
      <c r="BH36" s="13">
        <f t="shared" si="42"/>
        <v>52230</v>
      </c>
      <c r="BI36" s="9">
        <v>215000</v>
      </c>
      <c r="BJ36" s="10">
        <v>35970</v>
      </c>
      <c r="BK36" s="10">
        <v>35970</v>
      </c>
      <c r="BL36" s="10">
        <f t="shared" si="48"/>
        <v>215000</v>
      </c>
      <c r="BM36" s="10">
        <f t="shared" si="8"/>
        <v>15000</v>
      </c>
      <c r="BN36" s="10">
        <f t="shared" si="9"/>
        <v>13500</v>
      </c>
      <c r="BO36" s="10">
        <f t="shared" si="10"/>
        <v>9000</v>
      </c>
      <c r="BP36" s="10">
        <f t="shared" si="11"/>
        <v>4500</v>
      </c>
      <c r="BQ36" s="10">
        <f t="shared" ref="BQ36:BQ45" si="50">BM36*12%</f>
        <v>1800</v>
      </c>
      <c r="BR36" s="10">
        <f t="shared" ref="BR36:BR45" si="51">IF(BB36&gt;21000,0,(BM36+BN36+BO36)*0.75%)</f>
        <v>0</v>
      </c>
      <c r="BS36" s="10">
        <f t="shared" ref="BS36:BS40" si="52">BQ36+BR36</f>
        <v>1800</v>
      </c>
      <c r="BT36" s="10">
        <f t="shared" ref="BT36:BT40" si="53">BM36*13%</f>
        <v>1950</v>
      </c>
      <c r="BU36" s="10">
        <f t="shared" si="31"/>
        <v>0</v>
      </c>
      <c r="BV36" s="10">
        <f t="shared" ref="BV36:BV38" si="54">SUM(BT36+BU36)</f>
        <v>1950</v>
      </c>
    </row>
    <row r="37" spans="1:74">
      <c r="A37" s="26">
        <v>36</v>
      </c>
      <c r="B37" s="21" t="s">
        <v>43</v>
      </c>
      <c r="C37" s="21" t="s">
        <v>17</v>
      </c>
      <c r="D37" s="21" t="s">
        <v>67</v>
      </c>
      <c r="E37" s="27">
        <v>101979294289</v>
      </c>
      <c r="F37" s="27"/>
      <c r="G37" s="27" t="s">
        <v>62</v>
      </c>
      <c r="H37" s="32" t="s">
        <v>126</v>
      </c>
      <c r="I37" s="21" t="s">
        <v>75</v>
      </c>
      <c r="J37" s="21" t="s">
        <v>65</v>
      </c>
      <c r="K37" s="28" t="s">
        <v>127</v>
      </c>
      <c r="L37" s="28" t="s">
        <v>197</v>
      </c>
      <c r="M37" s="15"/>
      <c r="N37" s="6"/>
      <c r="O37" s="10"/>
      <c r="P37" s="6"/>
      <c r="Q37" s="10"/>
      <c r="R37" s="6"/>
      <c r="S37" s="10"/>
      <c r="T37" s="6"/>
      <c r="U37" s="10"/>
      <c r="V37" s="6"/>
      <c r="W37" s="10"/>
      <c r="X37" s="6"/>
      <c r="Y37" s="10"/>
      <c r="Z37" s="6"/>
      <c r="AA37" s="10"/>
      <c r="AB37" s="6"/>
      <c r="AC37" s="10"/>
      <c r="AD37" s="6"/>
      <c r="AE37" s="10"/>
      <c r="AF37" s="6"/>
      <c r="AG37" s="10"/>
      <c r="AH37" s="6"/>
      <c r="AI37" s="10"/>
      <c r="AJ37" s="6"/>
      <c r="AK37" s="10">
        <f>30+1</f>
        <v>31</v>
      </c>
      <c r="AL37" s="6"/>
      <c r="AM37" s="10"/>
      <c r="AN37" s="6"/>
      <c r="AO37" s="10"/>
      <c r="AP37" s="6"/>
      <c r="AQ37" s="10"/>
      <c r="AR37" s="6"/>
      <c r="AS37" s="10"/>
      <c r="AT37" s="6"/>
      <c r="AU37" s="6"/>
      <c r="AV37" s="8"/>
      <c r="AW37" s="10"/>
      <c r="AX37" s="8">
        <f t="shared" si="0"/>
        <v>0</v>
      </c>
      <c r="AY37" s="7">
        <f t="shared" si="39"/>
        <v>486.14583333333331</v>
      </c>
      <c r="AZ37" s="7">
        <f t="shared" si="46"/>
        <v>15070.520833333332</v>
      </c>
      <c r="BA37" s="10">
        <f t="shared" si="2"/>
        <v>31</v>
      </c>
      <c r="BB37" s="14">
        <f>11500+1500</f>
        <v>13000</v>
      </c>
      <c r="BC37" s="10">
        <f t="shared" si="44"/>
        <v>13433.333333333332</v>
      </c>
      <c r="BD37" s="10">
        <f t="shared" si="49"/>
        <v>1128.3999999999999</v>
      </c>
      <c r="BE37" s="10">
        <f t="shared" si="49"/>
        <v>95.712499999999991</v>
      </c>
      <c r="BF37" s="10">
        <f t="shared" si="47"/>
        <v>12209.220833333333</v>
      </c>
      <c r="BG37" s="12">
        <f t="shared" si="41"/>
        <v>0</v>
      </c>
      <c r="BH37" s="13">
        <f t="shared" si="42"/>
        <v>12209.220833333333</v>
      </c>
      <c r="BI37" s="9">
        <v>0</v>
      </c>
      <c r="BJ37" s="10"/>
      <c r="BK37" s="10"/>
      <c r="BL37" s="10">
        <f t="shared" si="48"/>
        <v>0</v>
      </c>
      <c r="BM37" s="10">
        <f t="shared" si="8"/>
        <v>9403.3333333333321</v>
      </c>
      <c r="BN37" s="10">
        <f t="shared" si="9"/>
        <v>2014.9999999999998</v>
      </c>
      <c r="BO37" s="10">
        <f t="shared" si="10"/>
        <v>1343.3333333333333</v>
      </c>
      <c r="BP37" s="10">
        <f t="shared" si="11"/>
        <v>671.66666666666663</v>
      </c>
      <c r="BQ37" s="10">
        <f t="shared" si="50"/>
        <v>1128.3999999999999</v>
      </c>
      <c r="BR37" s="10">
        <f t="shared" si="51"/>
        <v>95.712499999999991</v>
      </c>
      <c r="BS37" s="10">
        <f t="shared" si="52"/>
        <v>1224.1125</v>
      </c>
      <c r="BT37" s="10">
        <f t="shared" si="53"/>
        <v>1222.4333333333332</v>
      </c>
      <c r="BU37" s="10">
        <f t="shared" si="31"/>
        <v>414.75416666666666</v>
      </c>
      <c r="BV37" s="10">
        <f t="shared" si="54"/>
        <v>1637.1874999999998</v>
      </c>
    </row>
    <row r="38" spans="1:74" ht="15.75" thickBot="1">
      <c r="A38" s="26">
        <v>37</v>
      </c>
      <c r="B38" s="21" t="s">
        <v>43</v>
      </c>
      <c r="C38" s="21" t="s">
        <v>21</v>
      </c>
      <c r="D38" s="21" t="s">
        <v>61</v>
      </c>
      <c r="E38" s="27">
        <v>101467475103</v>
      </c>
      <c r="F38" s="27"/>
      <c r="G38" s="27" t="s">
        <v>62</v>
      </c>
      <c r="H38" s="32" t="s">
        <v>128</v>
      </c>
      <c r="I38" s="21" t="s">
        <v>64</v>
      </c>
      <c r="J38" s="21" t="s">
        <v>65</v>
      </c>
      <c r="K38" s="28" t="s">
        <v>129</v>
      </c>
      <c r="L38" s="28" t="s">
        <v>197</v>
      </c>
      <c r="M38" s="15">
        <f>30+1</f>
        <v>31</v>
      </c>
      <c r="N38" s="6"/>
      <c r="O38" s="10"/>
      <c r="P38" s="6"/>
      <c r="Q38" s="10"/>
      <c r="R38" s="6"/>
      <c r="S38" s="10"/>
      <c r="T38" s="6"/>
      <c r="U38" s="10"/>
      <c r="V38" s="6"/>
      <c r="W38" s="10"/>
      <c r="X38" s="6"/>
      <c r="Y38" s="10"/>
      <c r="Z38" s="6"/>
      <c r="AA38" s="10"/>
      <c r="AB38" s="6"/>
      <c r="AC38" s="10"/>
      <c r="AD38" s="6"/>
      <c r="AE38" s="10"/>
      <c r="AF38" s="6"/>
      <c r="AG38" s="10"/>
      <c r="AH38" s="6"/>
      <c r="AI38" s="10"/>
      <c r="AJ38" s="6"/>
      <c r="AK38" s="10"/>
      <c r="AL38" s="6"/>
      <c r="AM38" s="10"/>
      <c r="AN38" s="6"/>
      <c r="AO38" s="10"/>
      <c r="AP38" s="6"/>
      <c r="AQ38" s="10"/>
      <c r="AR38" s="6"/>
      <c r="AS38" s="10"/>
      <c r="AT38" s="6"/>
      <c r="AU38" s="6"/>
      <c r="AV38" s="8"/>
      <c r="AW38" s="10"/>
      <c r="AX38" s="8">
        <f t="shared" si="0"/>
        <v>0</v>
      </c>
      <c r="AY38" s="7">
        <f t="shared" si="39"/>
        <v>812.90322580645159</v>
      </c>
      <c r="AZ38" s="7">
        <f t="shared" si="46"/>
        <v>25200</v>
      </c>
      <c r="BA38" s="10">
        <f t="shared" si="2"/>
        <v>31</v>
      </c>
      <c r="BB38" s="14">
        <f>21000+1500</f>
        <v>22500</v>
      </c>
      <c r="BC38" s="10">
        <f t="shared" si="44"/>
        <v>23250</v>
      </c>
      <c r="BD38" s="10">
        <v>1800</v>
      </c>
      <c r="BE38" s="10">
        <v>0</v>
      </c>
      <c r="BF38" s="10">
        <f t="shared" si="47"/>
        <v>21450</v>
      </c>
      <c r="BG38" s="12">
        <f t="shared" si="41"/>
        <v>0</v>
      </c>
      <c r="BH38" s="13">
        <f t="shared" si="42"/>
        <v>21450</v>
      </c>
      <c r="BI38" s="9">
        <v>0</v>
      </c>
      <c r="BJ38" s="10"/>
      <c r="BK38" s="10"/>
      <c r="BL38" s="10">
        <f t="shared" si="48"/>
        <v>0</v>
      </c>
      <c r="BM38" s="10">
        <f t="shared" si="8"/>
        <v>15000</v>
      </c>
      <c r="BN38" s="10">
        <f t="shared" si="9"/>
        <v>3487.5</v>
      </c>
      <c r="BO38" s="10">
        <f t="shared" si="10"/>
        <v>2325</v>
      </c>
      <c r="BP38" s="10">
        <f t="shared" si="11"/>
        <v>1162.5</v>
      </c>
      <c r="BQ38" s="10">
        <f t="shared" si="50"/>
        <v>1800</v>
      </c>
      <c r="BR38" s="10">
        <f t="shared" si="51"/>
        <v>0</v>
      </c>
      <c r="BS38" s="10">
        <f t="shared" si="52"/>
        <v>1800</v>
      </c>
      <c r="BT38" s="10">
        <f t="shared" si="53"/>
        <v>1950</v>
      </c>
      <c r="BU38" s="10">
        <f t="shared" si="31"/>
        <v>0</v>
      </c>
      <c r="BV38" s="10">
        <f t="shared" si="54"/>
        <v>1950</v>
      </c>
    </row>
    <row r="39" spans="1:74" ht="15.75" thickBot="1">
      <c r="A39" s="21">
        <v>38</v>
      </c>
      <c r="B39" s="21" t="s">
        <v>43</v>
      </c>
      <c r="C39" s="21" t="s">
        <v>8</v>
      </c>
      <c r="D39" s="21" t="s">
        <v>67</v>
      </c>
      <c r="E39" s="27">
        <v>101840514360</v>
      </c>
      <c r="F39" s="27"/>
      <c r="G39" s="27" t="s">
        <v>62</v>
      </c>
      <c r="H39" s="32" t="s">
        <v>130</v>
      </c>
      <c r="I39" s="21" t="s">
        <v>64</v>
      </c>
      <c r="J39" s="26" t="s">
        <v>65</v>
      </c>
      <c r="K39" s="38" t="s">
        <v>131</v>
      </c>
      <c r="L39" s="28" t="s">
        <v>197</v>
      </c>
      <c r="M39" s="20"/>
      <c r="N39" s="6"/>
      <c r="O39" s="7"/>
      <c r="P39" s="6"/>
      <c r="Q39" s="7"/>
      <c r="R39" s="6"/>
      <c r="S39" s="7">
        <f>30-1+1</f>
        <v>30</v>
      </c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6"/>
      <c r="AV39" s="8"/>
      <c r="AW39" s="7"/>
      <c r="AX39" s="8">
        <f>AY39*AW39</f>
        <v>0</v>
      </c>
      <c r="AY39" s="7">
        <f t="shared" si="39"/>
        <v>691.82291666666663</v>
      </c>
      <c r="AZ39" s="7">
        <f t="shared" si="46"/>
        <v>20754.6875</v>
      </c>
      <c r="BA39" s="10">
        <f t="shared" si="2"/>
        <v>30</v>
      </c>
      <c r="BB39" s="11">
        <f>17000+1500</f>
        <v>18500</v>
      </c>
      <c r="BC39" s="10">
        <f t="shared" si="44"/>
        <v>18500</v>
      </c>
      <c r="BD39" s="10">
        <f t="shared" ref="BD39:BE40" si="55">BQ39</f>
        <v>1554</v>
      </c>
      <c r="BE39" s="10">
        <f t="shared" si="55"/>
        <v>131.8125</v>
      </c>
      <c r="BF39" s="10">
        <f t="shared" ref="BF39:BF70" si="56">SUM(BC39-BD39-BE39)</f>
        <v>16814.1875</v>
      </c>
      <c r="BG39" s="12">
        <f t="shared" si="41"/>
        <v>1000</v>
      </c>
      <c r="BH39" s="13">
        <f t="shared" si="42"/>
        <v>15814.1875</v>
      </c>
      <c r="BI39" s="9">
        <v>8000</v>
      </c>
      <c r="BJ39" s="10"/>
      <c r="BK39" s="10">
        <v>1000</v>
      </c>
      <c r="BL39" s="10">
        <f t="shared" ref="BL39:BL70" si="57">SUM(BI39+BJ39-BK39)</f>
        <v>7000</v>
      </c>
      <c r="BM39" s="10">
        <f t="shared" si="8"/>
        <v>12950</v>
      </c>
      <c r="BN39" s="10">
        <f t="shared" si="9"/>
        <v>2775</v>
      </c>
      <c r="BO39" s="10">
        <f t="shared" si="10"/>
        <v>1850</v>
      </c>
      <c r="BP39" s="10">
        <f t="shared" si="11"/>
        <v>925</v>
      </c>
      <c r="BQ39" s="10">
        <f t="shared" si="50"/>
        <v>1554</v>
      </c>
      <c r="BR39" s="10">
        <f t="shared" si="51"/>
        <v>131.8125</v>
      </c>
      <c r="BS39" s="10">
        <f t="shared" si="52"/>
        <v>1685.8125</v>
      </c>
      <c r="BT39" s="10">
        <f t="shared" si="53"/>
        <v>1683.5</v>
      </c>
      <c r="BU39" s="10">
        <f t="shared" si="31"/>
        <v>571.1875</v>
      </c>
      <c r="BV39" s="10">
        <f t="shared" ref="BV39:BV40" si="58">SUM(BT39+BU39)</f>
        <v>2254.6875</v>
      </c>
    </row>
    <row r="40" spans="1:74">
      <c r="A40" s="26">
        <v>39</v>
      </c>
      <c r="B40" s="21" t="s">
        <v>43</v>
      </c>
      <c r="C40" s="21" t="s">
        <v>20</v>
      </c>
      <c r="D40" s="21" t="s">
        <v>67</v>
      </c>
      <c r="E40" s="27">
        <v>100664607068</v>
      </c>
      <c r="F40" s="27"/>
      <c r="G40" s="27" t="s">
        <v>62</v>
      </c>
      <c r="H40" s="32" t="s">
        <v>132</v>
      </c>
      <c r="I40" s="21" t="s">
        <v>64</v>
      </c>
      <c r="J40" s="21" t="s">
        <v>65</v>
      </c>
      <c r="K40" s="28" t="s">
        <v>133</v>
      </c>
      <c r="L40" s="28" t="s">
        <v>197</v>
      </c>
      <c r="M40" s="15"/>
      <c r="N40" s="6"/>
      <c r="O40" s="10"/>
      <c r="P40" s="6"/>
      <c r="Q40" s="10"/>
      <c r="R40" s="6"/>
      <c r="S40" s="10"/>
      <c r="T40" s="6"/>
      <c r="U40" s="10"/>
      <c r="V40" s="6"/>
      <c r="W40" s="10"/>
      <c r="X40" s="6"/>
      <c r="Y40" s="10"/>
      <c r="Z40" s="6"/>
      <c r="AA40" s="10"/>
      <c r="AB40" s="6"/>
      <c r="AC40" s="10"/>
      <c r="AD40" s="6"/>
      <c r="AE40" s="10"/>
      <c r="AF40" s="6"/>
      <c r="AG40" s="10"/>
      <c r="AH40" s="6"/>
      <c r="AI40" s="10"/>
      <c r="AJ40" s="6"/>
      <c r="AK40" s="10"/>
      <c r="AL40" s="6"/>
      <c r="AM40" s="10"/>
      <c r="AN40" s="6"/>
      <c r="AO40" s="10"/>
      <c r="AP40" s="6"/>
      <c r="AQ40" s="10">
        <f>30-4</f>
        <v>26</v>
      </c>
      <c r="AR40" s="6"/>
      <c r="AS40" s="10"/>
      <c r="AT40" s="6"/>
      <c r="AU40" s="6"/>
      <c r="AV40" s="8"/>
      <c r="AW40" s="10"/>
      <c r="AX40" s="8">
        <f>AY40*AW40</f>
        <v>0</v>
      </c>
      <c r="AY40" s="7">
        <f t="shared" si="39"/>
        <v>1008.3333333333334</v>
      </c>
      <c r="AZ40" s="7">
        <f>BA40*AY40</f>
        <v>26216.666666666668</v>
      </c>
      <c r="BA40" s="10">
        <f t="shared" si="2"/>
        <v>26</v>
      </c>
      <c r="BB40" s="14">
        <f>26000+1500+500</f>
        <v>28000</v>
      </c>
      <c r="BC40" s="10">
        <f t="shared" si="44"/>
        <v>24266.666666666668</v>
      </c>
      <c r="BD40" s="10">
        <f t="shared" si="55"/>
        <v>1800</v>
      </c>
      <c r="BE40" s="10">
        <f t="shared" si="55"/>
        <v>0</v>
      </c>
      <c r="BF40" s="10">
        <f t="shared" si="56"/>
        <v>22466.666666666668</v>
      </c>
      <c r="BG40" s="12">
        <f t="shared" si="41"/>
        <v>5000</v>
      </c>
      <c r="BH40" s="13">
        <f t="shared" si="42"/>
        <v>17466.666666666668</v>
      </c>
      <c r="BI40" s="9">
        <v>70000</v>
      </c>
      <c r="BJ40" s="10"/>
      <c r="BK40" s="10">
        <v>5000</v>
      </c>
      <c r="BL40" s="10">
        <f t="shared" si="57"/>
        <v>65000</v>
      </c>
      <c r="BM40" s="10">
        <f t="shared" si="8"/>
        <v>15000</v>
      </c>
      <c r="BN40" s="10">
        <f t="shared" si="9"/>
        <v>3640</v>
      </c>
      <c r="BO40" s="10">
        <f t="shared" si="10"/>
        <v>2426.666666666667</v>
      </c>
      <c r="BP40" s="10">
        <f t="shared" si="11"/>
        <v>1213.3333333333335</v>
      </c>
      <c r="BQ40" s="10">
        <f t="shared" si="50"/>
        <v>1800</v>
      </c>
      <c r="BR40" s="10">
        <f t="shared" si="51"/>
        <v>0</v>
      </c>
      <c r="BS40" s="10">
        <f t="shared" si="52"/>
        <v>1800</v>
      </c>
      <c r="BT40" s="10">
        <f t="shared" si="53"/>
        <v>1950</v>
      </c>
      <c r="BU40" s="10">
        <f t="shared" si="31"/>
        <v>0</v>
      </c>
      <c r="BV40" s="10">
        <f t="shared" si="58"/>
        <v>1950</v>
      </c>
    </row>
    <row r="41" spans="1:74">
      <c r="A41" s="26">
        <v>40</v>
      </c>
      <c r="B41" s="26" t="s">
        <v>43</v>
      </c>
      <c r="C41" s="21" t="s">
        <v>44</v>
      </c>
      <c r="D41" s="26" t="s">
        <v>67</v>
      </c>
      <c r="E41" s="27">
        <v>102213324058</v>
      </c>
      <c r="F41" s="27"/>
      <c r="G41" s="26" t="s">
        <v>62</v>
      </c>
      <c r="H41" s="32" t="s">
        <v>134</v>
      </c>
      <c r="I41" s="26" t="s">
        <v>75</v>
      </c>
      <c r="J41" s="21" t="s">
        <v>71</v>
      </c>
      <c r="K41" s="28" t="s">
        <v>135</v>
      </c>
      <c r="L41" s="28" t="s">
        <v>197</v>
      </c>
      <c r="M41" s="5">
        <f>30-1+1</f>
        <v>30</v>
      </c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6"/>
      <c r="AV41" s="8"/>
      <c r="AW41" s="7"/>
      <c r="AX41" s="8">
        <f t="shared" ref="AX41:AX70" si="59">AY41*AW41</f>
        <v>0</v>
      </c>
      <c r="AY41" s="7">
        <f t="shared" ref="AY41" si="60">SUM(BC41+BV41)/BA41</f>
        <v>448.75</v>
      </c>
      <c r="AZ41" s="7">
        <f>BA41*AY41</f>
        <v>13462.5</v>
      </c>
      <c r="BA41" s="10">
        <f t="shared" si="2"/>
        <v>30</v>
      </c>
      <c r="BB41" s="11">
        <v>12000</v>
      </c>
      <c r="BC41" s="10">
        <f t="shared" si="44"/>
        <v>12000</v>
      </c>
      <c r="BD41" s="10">
        <f>BQ41</f>
        <v>1008</v>
      </c>
      <c r="BE41" s="10">
        <f>BR41</f>
        <v>85.5</v>
      </c>
      <c r="BF41" s="10">
        <f t="shared" si="56"/>
        <v>10906.5</v>
      </c>
      <c r="BG41" s="12">
        <f t="shared" si="41"/>
        <v>0</v>
      </c>
      <c r="BH41" s="13">
        <f t="shared" si="42"/>
        <v>10906.5</v>
      </c>
      <c r="BI41" s="9">
        <v>0</v>
      </c>
      <c r="BJ41" s="7"/>
      <c r="BK41" s="7"/>
      <c r="BL41" s="10">
        <f t="shared" si="57"/>
        <v>0</v>
      </c>
      <c r="BM41" s="10">
        <f t="shared" si="8"/>
        <v>8400</v>
      </c>
      <c r="BN41" s="10">
        <f t="shared" si="9"/>
        <v>1800</v>
      </c>
      <c r="BO41" s="10">
        <f t="shared" si="10"/>
        <v>1200</v>
      </c>
      <c r="BP41" s="10">
        <f t="shared" si="11"/>
        <v>600</v>
      </c>
      <c r="BQ41" s="10">
        <f t="shared" si="50"/>
        <v>1008</v>
      </c>
      <c r="BR41" s="10">
        <f t="shared" si="51"/>
        <v>85.5</v>
      </c>
      <c r="BS41" s="10">
        <f>BQ41+BR41</f>
        <v>1093.5</v>
      </c>
      <c r="BT41" s="10">
        <f>BM41*13%</f>
        <v>1092</v>
      </c>
      <c r="BU41" s="10">
        <f t="shared" si="31"/>
        <v>370.5</v>
      </c>
      <c r="BV41" s="10">
        <f>SUM(BT41+BU41)</f>
        <v>1462.5</v>
      </c>
    </row>
    <row r="42" spans="1:74">
      <c r="A42" s="26">
        <v>41</v>
      </c>
      <c r="B42" s="21" t="s">
        <v>43</v>
      </c>
      <c r="C42" s="21" t="s">
        <v>21</v>
      </c>
      <c r="D42" s="26" t="s">
        <v>67</v>
      </c>
      <c r="E42" s="27">
        <v>101840514665</v>
      </c>
      <c r="F42" s="27"/>
      <c r="G42" s="26" t="s">
        <v>62</v>
      </c>
      <c r="H42" s="32" t="s">
        <v>136</v>
      </c>
      <c r="I42" s="21" t="s">
        <v>64</v>
      </c>
      <c r="J42" s="26" t="s">
        <v>71</v>
      </c>
      <c r="K42" s="28" t="s">
        <v>137</v>
      </c>
      <c r="L42" s="28" t="s">
        <v>197</v>
      </c>
      <c r="M42" s="15">
        <f>30+1</f>
        <v>31</v>
      </c>
      <c r="N42" s="6"/>
      <c r="O42" s="10"/>
      <c r="P42" s="6"/>
      <c r="Q42" s="10"/>
      <c r="R42" s="6"/>
      <c r="S42" s="10"/>
      <c r="T42" s="6"/>
      <c r="U42" s="10"/>
      <c r="V42" s="6"/>
      <c r="W42" s="10"/>
      <c r="X42" s="6"/>
      <c r="Y42" s="10"/>
      <c r="Z42" s="6"/>
      <c r="AA42" s="10"/>
      <c r="AB42" s="6"/>
      <c r="AC42" s="10"/>
      <c r="AD42" s="6"/>
      <c r="AE42" s="10"/>
      <c r="AF42" s="6"/>
      <c r="AG42" s="10"/>
      <c r="AH42" s="6"/>
      <c r="AI42" s="10"/>
      <c r="AJ42" s="6"/>
      <c r="AK42" s="10"/>
      <c r="AL42" s="6"/>
      <c r="AM42" s="10"/>
      <c r="AN42" s="6"/>
      <c r="AO42" s="10"/>
      <c r="AP42" s="6"/>
      <c r="AQ42" s="10"/>
      <c r="AR42" s="6"/>
      <c r="AS42" s="10"/>
      <c r="AT42" s="6"/>
      <c r="AU42" s="6"/>
      <c r="AV42" s="8"/>
      <c r="AW42" s="10"/>
      <c r="AX42" s="8">
        <f t="shared" si="59"/>
        <v>0</v>
      </c>
      <c r="AY42" s="7">
        <f t="shared" ref="AY42:AY45" si="61">SUM(BC42+BV42)/BA42</f>
        <v>729.21875</v>
      </c>
      <c r="AZ42" s="7">
        <f t="shared" ref="AZ42:AZ43" si="62">BA42*AY42</f>
        <v>22605.78125</v>
      </c>
      <c r="BA42" s="10">
        <f t="shared" si="2"/>
        <v>31</v>
      </c>
      <c r="BB42" s="14">
        <v>19500</v>
      </c>
      <c r="BC42" s="10">
        <f t="shared" ref="BC42:BC56" si="63">SUM(BB42/30*BA42)</f>
        <v>20150</v>
      </c>
      <c r="BD42" s="10">
        <f t="shared" ref="BD42:BE44" si="64">BQ42</f>
        <v>1692.6</v>
      </c>
      <c r="BE42" s="10">
        <f t="shared" si="64"/>
        <v>143.56874999999999</v>
      </c>
      <c r="BF42" s="10">
        <f t="shared" si="56"/>
        <v>18313.831250000003</v>
      </c>
      <c r="BG42" s="12">
        <f t="shared" si="41"/>
        <v>0</v>
      </c>
      <c r="BH42" s="13">
        <f t="shared" si="42"/>
        <v>18313.831250000003</v>
      </c>
      <c r="BI42" s="9">
        <v>0</v>
      </c>
      <c r="BJ42" s="10"/>
      <c r="BK42" s="10"/>
      <c r="BL42" s="10">
        <f t="shared" si="57"/>
        <v>0</v>
      </c>
      <c r="BM42" s="10">
        <f t="shared" si="8"/>
        <v>14105</v>
      </c>
      <c r="BN42" s="10">
        <f t="shared" si="9"/>
        <v>3022.5</v>
      </c>
      <c r="BO42" s="10">
        <f t="shared" si="10"/>
        <v>2015</v>
      </c>
      <c r="BP42" s="10">
        <f t="shared" si="11"/>
        <v>1007.5</v>
      </c>
      <c r="BQ42" s="10">
        <f t="shared" si="50"/>
        <v>1692.6</v>
      </c>
      <c r="BR42" s="10">
        <f t="shared" si="51"/>
        <v>143.56874999999999</v>
      </c>
      <c r="BS42" s="10">
        <f t="shared" ref="BS42:BS47" si="65">BQ42+BR42</f>
        <v>1836.1687499999998</v>
      </c>
      <c r="BT42" s="10">
        <f t="shared" ref="BT42:BT45" si="66">BM42*13%</f>
        <v>1833.65</v>
      </c>
      <c r="BU42" s="10">
        <f t="shared" si="31"/>
        <v>622.13125000000002</v>
      </c>
      <c r="BV42" s="10">
        <f t="shared" ref="BV42:BV44" si="67">SUM(BT42+BU42)</f>
        <v>2455.78125</v>
      </c>
    </row>
    <row r="43" spans="1:74">
      <c r="A43" s="21">
        <v>42</v>
      </c>
      <c r="B43" s="21" t="s">
        <v>43</v>
      </c>
      <c r="C43" s="21" t="s">
        <v>21</v>
      </c>
      <c r="D43" s="21" t="s">
        <v>67</v>
      </c>
      <c r="E43" s="27">
        <v>101991911309</v>
      </c>
      <c r="F43" s="27"/>
      <c r="G43" s="27" t="s">
        <v>62</v>
      </c>
      <c r="H43" s="32" t="s">
        <v>138</v>
      </c>
      <c r="I43" s="21" t="s">
        <v>75</v>
      </c>
      <c r="J43" s="21" t="s">
        <v>65</v>
      </c>
      <c r="K43" s="28" t="s">
        <v>139</v>
      </c>
      <c r="L43" s="28" t="s">
        <v>197</v>
      </c>
      <c r="M43" s="15">
        <f>30+1-1</f>
        <v>30</v>
      </c>
      <c r="N43" s="6"/>
      <c r="O43" s="10"/>
      <c r="P43" s="6"/>
      <c r="Q43" s="10"/>
      <c r="R43" s="6"/>
      <c r="S43" s="10"/>
      <c r="T43" s="6"/>
      <c r="U43" s="10"/>
      <c r="V43" s="6"/>
      <c r="W43" s="10"/>
      <c r="X43" s="6"/>
      <c r="Y43" s="10"/>
      <c r="Z43" s="6"/>
      <c r="AA43" s="10"/>
      <c r="AB43" s="6"/>
      <c r="AC43" s="10"/>
      <c r="AD43" s="6"/>
      <c r="AE43" s="10"/>
      <c r="AF43" s="6"/>
      <c r="AG43" s="10"/>
      <c r="AH43" s="6"/>
      <c r="AI43" s="10"/>
      <c r="AJ43" s="6"/>
      <c r="AK43" s="10"/>
      <c r="AL43" s="6"/>
      <c r="AM43" s="10"/>
      <c r="AN43" s="6"/>
      <c r="AO43" s="10"/>
      <c r="AP43" s="6"/>
      <c r="AQ43" s="10"/>
      <c r="AR43" s="6"/>
      <c r="AS43" s="10"/>
      <c r="AT43" s="6"/>
      <c r="AU43" s="6"/>
      <c r="AV43" s="8"/>
      <c r="AW43" s="10"/>
      <c r="AX43" s="8">
        <f t="shared" si="59"/>
        <v>0</v>
      </c>
      <c r="AY43" s="7">
        <f t="shared" si="61"/>
        <v>579.63541666666652</v>
      </c>
      <c r="AZ43" s="7">
        <f t="shared" si="62"/>
        <v>17389.062499999996</v>
      </c>
      <c r="BA43" s="10">
        <f t="shared" si="2"/>
        <v>30</v>
      </c>
      <c r="BB43" s="14">
        <f>14000+1500</f>
        <v>15500</v>
      </c>
      <c r="BC43" s="10">
        <f t="shared" si="63"/>
        <v>15499.999999999998</v>
      </c>
      <c r="BD43" s="10">
        <f t="shared" si="64"/>
        <v>1301.9999999999998</v>
      </c>
      <c r="BE43" s="10">
        <f t="shared" si="64"/>
        <v>110.43749999999999</v>
      </c>
      <c r="BF43" s="10">
        <f t="shared" si="56"/>
        <v>14087.562499999998</v>
      </c>
      <c r="BG43" s="12">
        <f t="shared" si="41"/>
        <v>0</v>
      </c>
      <c r="BH43" s="13">
        <f t="shared" si="42"/>
        <v>14087.562499999998</v>
      </c>
      <c r="BI43" s="9">
        <v>8420</v>
      </c>
      <c r="BJ43" s="10"/>
      <c r="BK43" s="10"/>
      <c r="BL43" s="10">
        <f t="shared" si="57"/>
        <v>8420</v>
      </c>
      <c r="BM43" s="10">
        <f t="shared" si="8"/>
        <v>10849.999999999998</v>
      </c>
      <c r="BN43" s="10">
        <f t="shared" si="9"/>
        <v>2324.9999999999995</v>
      </c>
      <c r="BO43" s="10">
        <f t="shared" si="10"/>
        <v>1550</v>
      </c>
      <c r="BP43" s="10">
        <f t="shared" si="11"/>
        <v>775</v>
      </c>
      <c r="BQ43" s="10">
        <f t="shared" si="50"/>
        <v>1301.9999999999998</v>
      </c>
      <c r="BR43" s="10">
        <f t="shared" si="51"/>
        <v>110.43749999999999</v>
      </c>
      <c r="BS43" s="10">
        <f t="shared" si="65"/>
        <v>1412.4374999999998</v>
      </c>
      <c r="BT43" s="10">
        <f t="shared" si="66"/>
        <v>1410.4999999999998</v>
      </c>
      <c r="BU43" s="10">
        <f t="shared" si="31"/>
        <v>478.56249999999994</v>
      </c>
      <c r="BV43" s="10">
        <f t="shared" si="67"/>
        <v>1889.0624999999998</v>
      </c>
    </row>
    <row r="44" spans="1:74">
      <c r="A44" s="26">
        <v>43</v>
      </c>
      <c r="B44" s="21" t="s">
        <v>43</v>
      </c>
      <c r="C44" s="21" t="s">
        <v>44</v>
      </c>
      <c r="D44" s="21" t="s">
        <v>67</v>
      </c>
      <c r="E44" s="27">
        <v>101893675481</v>
      </c>
      <c r="F44" s="27"/>
      <c r="G44" s="27" t="s">
        <v>62</v>
      </c>
      <c r="H44" s="32" t="s">
        <v>140</v>
      </c>
      <c r="I44" s="21" t="s">
        <v>64</v>
      </c>
      <c r="J44" s="21" t="s">
        <v>71</v>
      </c>
      <c r="K44" s="28" t="s">
        <v>141</v>
      </c>
      <c r="L44" s="28" t="s">
        <v>197</v>
      </c>
      <c r="M44" s="5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>
        <f>30+1</f>
        <v>31</v>
      </c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6"/>
      <c r="AV44" s="8"/>
      <c r="AW44" s="7"/>
      <c r="AX44" s="8">
        <f t="shared" si="59"/>
        <v>0</v>
      </c>
      <c r="AY44" s="7">
        <f t="shared" si="61"/>
        <v>560.9375</v>
      </c>
      <c r="AZ44" s="7">
        <f>BA44*AY44</f>
        <v>17389.0625</v>
      </c>
      <c r="BA44" s="10">
        <f t="shared" si="2"/>
        <v>31</v>
      </c>
      <c r="BB44" s="14">
        <v>15000</v>
      </c>
      <c r="BC44" s="10">
        <f t="shared" si="63"/>
        <v>15500</v>
      </c>
      <c r="BD44" s="10">
        <f t="shared" si="64"/>
        <v>1302</v>
      </c>
      <c r="BE44" s="10">
        <f t="shared" si="64"/>
        <v>110.4375</v>
      </c>
      <c r="BF44" s="10">
        <f t="shared" si="56"/>
        <v>14087.5625</v>
      </c>
      <c r="BG44" s="12">
        <f t="shared" si="41"/>
        <v>0</v>
      </c>
      <c r="BH44" s="13">
        <f t="shared" si="42"/>
        <v>14087.5625</v>
      </c>
      <c r="BI44" s="9">
        <v>0</v>
      </c>
      <c r="BJ44" s="10"/>
      <c r="BK44" s="10"/>
      <c r="BL44" s="10">
        <f t="shared" si="57"/>
        <v>0</v>
      </c>
      <c r="BM44" s="10">
        <f t="shared" si="8"/>
        <v>10850</v>
      </c>
      <c r="BN44" s="10">
        <f t="shared" si="9"/>
        <v>2325</v>
      </c>
      <c r="BO44" s="10">
        <f t="shared" si="10"/>
        <v>1550</v>
      </c>
      <c r="BP44" s="10">
        <f t="shared" si="11"/>
        <v>775</v>
      </c>
      <c r="BQ44" s="10">
        <f t="shared" si="50"/>
        <v>1302</v>
      </c>
      <c r="BR44" s="10">
        <f t="shared" si="51"/>
        <v>110.4375</v>
      </c>
      <c r="BS44" s="10">
        <f t="shared" si="65"/>
        <v>1412.4375</v>
      </c>
      <c r="BT44" s="10">
        <f t="shared" si="66"/>
        <v>1410.5</v>
      </c>
      <c r="BU44" s="10">
        <f t="shared" si="31"/>
        <v>478.5625</v>
      </c>
      <c r="BV44" s="10">
        <f t="shared" si="67"/>
        <v>1889.0625</v>
      </c>
    </row>
    <row r="45" spans="1:74">
      <c r="A45" s="26">
        <v>44</v>
      </c>
      <c r="B45" s="21" t="s">
        <v>43</v>
      </c>
      <c r="C45" s="21" t="s">
        <v>21</v>
      </c>
      <c r="D45" s="21" t="s">
        <v>67</v>
      </c>
      <c r="E45" s="27">
        <v>101328681628</v>
      </c>
      <c r="F45" s="27"/>
      <c r="G45" s="27" t="s">
        <v>62</v>
      </c>
      <c r="H45" s="32" t="s">
        <v>142</v>
      </c>
      <c r="I45" s="21" t="s">
        <v>64</v>
      </c>
      <c r="J45" s="26" t="s">
        <v>71</v>
      </c>
      <c r="K45" s="28" t="s">
        <v>143</v>
      </c>
      <c r="L45" s="28" t="s">
        <v>197</v>
      </c>
      <c r="M45" s="5">
        <f>30+1</f>
        <v>31</v>
      </c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6"/>
      <c r="AV45" s="8"/>
      <c r="AW45" s="7"/>
      <c r="AX45" s="8">
        <f t="shared" si="59"/>
        <v>0</v>
      </c>
      <c r="AY45" s="7">
        <f t="shared" si="61"/>
        <v>862.90322580645159</v>
      </c>
      <c r="AZ45" s="7">
        <f>BA45*AY45</f>
        <v>26750</v>
      </c>
      <c r="BA45" s="10">
        <f t="shared" si="2"/>
        <v>31</v>
      </c>
      <c r="BB45" s="11">
        <v>24000</v>
      </c>
      <c r="BC45" s="10">
        <f t="shared" si="63"/>
        <v>24800</v>
      </c>
      <c r="BD45" s="10">
        <f>BQ45</f>
        <v>1800</v>
      </c>
      <c r="BE45" s="10">
        <f>BR45</f>
        <v>0</v>
      </c>
      <c r="BF45" s="10">
        <f t="shared" si="56"/>
        <v>23000</v>
      </c>
      <c r="BG45" s="12">
        <f t="shared" si="41"/>
        <v>0</v>
      </c>
      <c r="BH45" s="13">
        <f t="shared" si="42"/>
        <v>23000</v>
      </c>
      <c r="BI45" s="9">
        <v>0</v>
      </c>
      <c r="BJ45" s="10"/>
      <c r="BK45" s="10"/>
      <c r="BL45" s="10">
        <f t="shared" si="57"/>
        <v>0</v>
      </c>
      <c r="BM45" s="10">
        <f t="shared" si="8"/>
        <v>15000</v>
      </c>
      <c r="BN45" s="10">
        <f t="shared" si="9"/>
        <v>3720</v>
      </c>
      <c r="BO45" s="10">
        <f t="shared" si="10"/>
        <v>2480</v>
      </c>
      <c r="BP45" s="10">
        <f t="shared" si="11"/>
        <v>1240</v>
      </c>
      <c r="BQ45" s="10">
        <f t="shared" si="50"/>
        <v>1800</v>
      </c>
      <c r="BR45" s="10">
        <f t="shared" si="51"/>
        <v>0</v>
      </c>
      <c r="BS45" s="10">
        <f t="shared" si="65"/>
        <v>1800</v>
      </c>
      <c r="BT45" s="10">
        <f t="shared" si="66"/>
        <v>1950</v>
      </c>
      <c r="BU45" s="10">
        <f t="shared" si="31"/>
        <v>0</v>
      </c>
      <c r="BV45" s="10">
        <f>SUM(BT45+BU45)</f>
        <v>1950</v>
      </c>
    </row>
    <row r="46" spans="1:74">
      <c r="A46" s="26">
        <v>45</v>
      </c>
      <c r="B46" s="21" t="s">
        <v>43</v>
      </c>
      <c r="C46" s="21" t="s">
        <v>44</v>
      </c>
      <c r="D46" s="21" t="s">
        <v>67</v>
      </c>
      <c r="E46" s="27">
        <v>102156040730</v>
      </c>
      <c r="F46" s="27"/>
      <c r="G46" s="27" t="s">
        <v>62</v>
      </c>
      <c r="H46" s="32" t="s">
        <v>144</v>
      </c>
      <c r="I46" s="27" t="s">
        <v>75</v>
      </c>
      <c r="J46" s="21" t="s">
        <v>65</v>
      </c>
      <c r="K46" s="28" t="s">
        <v>145</v>
      </c>
      <c r="L46" s="28" t="s">
        <v>197</v>
      </c>
      <c r="M46" s="5">
        <f>30+1</f>
        <v>31</v>
      </c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6"/>
      <c r="AV46" s="8"/>
      <c r="AW46" s="7"/>
      <c r="AX46" s="8">
        <f t="shared" si="59"/>
        <v>0</v>
      </c>
      <c r="AY46" s="7">
        <f t="shared" ref="AY46:AY55" si="68">SUM(BC46+BV46)/BA46</f>
        <v>467.44791666666669</v>
      </c>
      <c r="AZ46" s="7">
        <f>BA46*AY46</f>
        <v>14490.885416666668</v>
      </c>
      <c r="BA46" s="10">
        <f t="shared" si="2"/>
        <v>31</v>
      </c>
      <c r="BB46" s="14">
        <f>11000+1500</f>
        <v>12500</v>
      </c>
      <c r="BC46" s="10">
        <f t="shared" si="63"/>
        <v>12916.666666666668</v>
      </c>
      <c r="BD46" s="10">
        <f t="shared" ref="BD46:BE48" si="69">BQ46</f>
        <v>1085</v>
      </c>
      <c r="BE46" s="10">
        <f t="shared" si="69"/>
        <v>92.031249999999986</v>
      </c>
      <c r="BF46" s="10">
        <f t="shared" si="56"/>
        <v>11739.635416666668</v>
      </c>
      <c r="BG46" s="12">
        <f t="shared" si="41"/>
        <v>0</v>
      </c>
      <c r="BH46" s="13">
        <f t="shared" si="42"/>
        <v>11739.635416666668</v>
      </c>
      <c r="BI46" s="9">
        <v>0</v>
      </c>
      <c r="BJ46" s="10"/>
      <c r="BK46" s="10"/>
      <c r="BL46" s="10">
        <f t="shared" si="57"/>
        <v>0</v>
      </c>
      <c r="BM46" s="10">
        <f t="shared" si="8"/>
        <v>9041.6666666666661</v>
      </c>
      <c r="BN46" s="10">
        <f t="shared" si="9"/>
        <v>1937.5</v>
      </c>
      <c r="BO46" s="10">
        <f t="shared" si="10"/>
        <v>1291.666666666667</v>
      </c>
      <c r="BP46" s="10">
        <f t="shared" si="11"/>
        <v>645.83333333333348</v>
      </c>
      <c r="BQ46" s="10">
        <f>BM46*12%</f>
        <v>1085</v>
      </c>
      <c r="BR46" s="10">
        <f>IF(BB46&gt;21000,0,(BM46+BN46+BO46)*0.75%)</f>
        <v>92.031249999999986</v>
      </c>
      <c r="BS46" s="10">
        <f t="shared" si="65"/>
        <v>1177.03125</v>
      </c>
      <c r="BT46" s="10">
        <f>BM46*13%</f>
        <v>1175.4166666666665</v>
      </c>
      <c r="BU46" s="10">
        <f>IF(BB46&gt;21000,0,(BM46+BN46+BO46)*3.25%)</f>
        <v>398.80208333333331</v>
      </c>
      <c r="BV46" s="10">
        <f t="shared" ref="BV46:BV47" si="70">SUM(BT46+BU46)</f>
        <v>1574.2187499999998</v>
      </c>
    </row>
    <row r="47" spans="1:74">
      <c r="A47" s="21">
        <v>46</v>
      </c>
      <c r="B47" s="21" t="s">
        <v>43</v>
      </c>
      <c r="C47" s="21" t="s">
        <v>44</v>
      </c>
      <c r="D47" s="21" t="s">
        <v>67</v>
      </c>
      <c r="E47" s="27">
        <v>101020174131</v>
      </c>
      <c r="F47" s="27"/>
      <c r="G47" s="27" t="s">
        <v>62</v>
      </c>
      <c r="H47" s="32" t="s">
        <v>146</v>
      </c>
      <c r="I47" s="21" t="s">
        <v>94</v>
      </c>
      <c r="J47" s="21" t="s">
        <v>65</v>
      </c>
      <c r="K47" s="28" t="s">
        <v>147</v>
      </c>
      <c r="L47" s="28" t="s">
        <v>199</v>
      </c>
      <c r="M47" s="15">
        <f>30+1</f>
        <v>31</v>
      </c>
      <c r="N47" s="6"/>
      <c r="O47" s="10"/>
      <c r="P47" s="6"/>
      <c r="Q47" s="10"/>
      <c r="R47" s="6"/>
      <c r="S47" s="10"/>
      <c r="T47" s="6"/>
      <c r="U47" s="10"/>
      <c r="V47" s="6"/>
      <c r="W47" s="10"/>
      <c r="X47" s="6"/>
      <c r="Y47" s="10"/>
      <c r="Z47" s="6"/>
      <c r="AA47" s="10"/>
      <c r="AB47" s="6"/>
      <c r="AC47" s="10"/>
      <c r="AD47" s="6"/>
      <c r="AE47" s="10"/>
      <c r="AF47" s="6"/>
      <c r="AG47" s="10"/>
      <c r="AH47" s="6"/>
      <c r="AI47" s="10"/>
      <c r="AJ47" s="6"/>
      <c r="AK47" s="10"/>
      <c r="AL47" s="6"/>
      <c r="AM47" s="10"/>
      <c r="AN47" s="6"/>
      <c r="AO47" s="10"/>
      <c r="AP47" s="6"/>
      <c r="AQ47" s="10"/>
      <c r="AR47" s="6"/>
      <c r="AS47" s="10"/>
      <c r="AT47" s="6"/>
      <c r="AU47" s="6"/>
      <c r="AV47" s="8"/>
      <c r="AW47" s="10"/>
      <c r="AX47" s="8">
        <f t="shared" si="59"/>
        <v>0</v>
      </c>
      <c r="AY47" s="7">
        <f t="shared" si="68"/>
        <v>1396.2365591397847</v>
      </c>
      <c r="AZ47" s="7">
        <f>BA47*AY47</f>
        <v>43283.333333333328</v>
      </c>
      <c r="BA47" s="10">
        <f t="shared" si="2"/>
        <v>31</v>
      </c>
      <c r="BB47" s="14">
        <f>30000+2000+8000</f>
        <v>40000</v>
      </c>
      <c r="BC47" s="10">
        <f t="shared" si="63"/>
        <v>41333.333333333328</v>
      </c>
      <c r="BD47" s="10">
        <f t="shared" si="69"/>
        <v>1800</v>
      </c>
      <c r="BE47" s="10">
        <f t="shared" si="69"/>
        <v>0</v>
      </c>
      <c r="BF47" s="10">
        <f t="shared" si="56"/>
        <v>39533.333333333328</v>
      </c>
      <c r="BG47" s="12">
        <f t="shared" si="41"/>
        <v>0</v>
      </c>
      <c r="BH47" s="13">
        <f t="shared" si="42"/>
        <v>39533.333333333328</v>
      </c>
      <c r="BI47" s="9">
        <v>0</v>
      </c>
      <c r="BJ47" s="10"/>
      <c r="BK47" s="10"/>
      <c r="BL47" s="10">
        <f t="shared" si="57"/>
        <v>0</v>
      </c>
      <c r="BM47" s="10">
        <f t="shared" si="8"/>
        <v>15000</v>
      </c>
      <c r="BN47" s="10">
        <f t="shared" si="9"/>
        <v>6199.9999999999991</v>
      </c>
      <c r="BO47" s="10">
        <f t="shared" si="10"/>
        <v>4133.333333333333</v>
      </c>
      <c r="BP47" s="10">
        <f t="shared" si="11"/>
        <v>2066.6666666666665</v>
      </c>
      <c r="BQ47" s="10">
        <f>BM47*12%</f>
        <v>1800</v>
      </c>
      <c r="BR47" s="10">
        <f>IF(BB47&gt;21000,0,(BM47+BN47+BO47)*0.75%)</f>
        <v>0</v>
      </c>
      <c r="BS47" s="10">
        <f t="shared" si="65"/>
        <v>1800</v>
      </c>
      <c r="BT47" s="10">
        <f>BM47*13%</f>
        <v>1950</v>
      </c>
      <c r="BU47" s="10">
        <f>IF(BB47&gt;21000,0,(BM47+BN47+BO47)*3.25%)</f>
        <v>0</v>
      </c>
      <c r="BV47" s="10">
        <f t="shared" si="70"/>
        <v>1950</v>
      </c>
    </row>
    <row r="48" spans="1:74">
      <c r="A48" s="26">
        <v>47</v>
      </c>
      <c r="B48" s="26" t="s">
        <v>43</v>
      </c>
      <c r="C48" s="21" t="s">
        <v>44</v>
      </c>
      <c r="D48" s="26" t="s">
        <v>67</v>
      </c>
      <c r="E48" s="27">
        <v>102213313922</v>
      </c>
      <c r="F48" s="27"/>
      <c r="G48" s="26" t="s">
        <v>62</v>
      </c>
      <c r="H48" s="32" t="s">
        <v>148</v>
      </c>
      <c r="I48" s="26" t="s">
        <v>75</v>
      </c>
      <c r="J48" s="21" t="s">
        <v>65</v>
      </c>
      <c r="K48" s="28" t="s">
        <v>149</v>
      </c>
      <c r="L48" s="28" t="s">
        <v>197</v>
      </c>
      <c r="M48" s="5">
        <f>30+1</f>
        <v>31</v>
      </c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6"/>
      <c r="AV48" s="8"/>
      <c r="AW48" s="7"/>
      <c r="AX48" s="8">
        <f t="shared" si="59"/>
        <v>0</v>
      </c>
      <c r="AY48" s="7">
        <f t="shared" si="68"/>
        <v>486.14583333333331</v>
      </c>
      <c r="AZ48" s="7">
        <f t="shared" ref="AZ48:AZ60" si="71">BA48*AY48</f>
        <v>15070.520833333332</v>
      </c>
      <c r="BA48" s="10">
        <f t="shared" si="2"/>
        <v>31</v>
      </c>
      <c r="BB48" s="11">
        <v>13000</v>
      </c>
      <c r="BC48" s="10">
        <f t="shared" si="63"/>
        <v>13433.333333333332</v>
      </c>
      <c r="BD48" s="10">
        <f t="shared" si="69"/>
        <v>1128.3999999999999</v>
      </c>
      <c r="BE48" s="10">
        <f t="shared" si="69"/>
        <v>95.712499999999991</v>
      </c>
      <c r="BF48" s="10">
        <f t="shared" si="56"/>
        <v>12209.220833333333</v>
      </c>
      <c r="BG48" s="12">
        <f t="shared" si="41"/>
        <v>0</v>
      </c>
      <c r="BH48" s="13">
        <f t="shared" si="42"/>
        <v>12209.220833333333</v>
      </c>
      <c r="BI48" s="9">
        <v>0</v>
      </c>
      <c r="BJ48" s="7"/>
      <c r="BK48" s="7"/>
      <c r="BL48" s="10">
        <f t="shared" si="57"/>
        <v>0</v>
      </c>
      <c r="BM48" s="10">
        <f t="shared" si="8"/>
        <v>9403.3333333333321</v>
      </c>
      <c r="BN48" s="10">
        <f t="shared" si="9"/>
        <v>2014.9999999999998</v>
      </c>
      <c r="BO48" s="10">
        <f t="shared" si="10"/>
        <v>1343.3333333333333</v>
      </c>
      <c r="BP48" s="10">
        <f t="shared" si="11"/>
        <v>671.66666666666663</v>
      </c>
      <c r="BQ48" s="10">
        <f>BM48*12%</f>
        <v>1128.3999999999999</v>
      </c>
      <c r="BR48" s="10">
        <f>IF(BB48&gt;21000,0,(BM48+BN48+BO48)*0.75%)</f>
        <v>95.712499999999991</v>
      </c>
      <c r="BS48" s="10">
        <f>BQ48+BR48</f>
        <v>1224.1125</v>
      </c>
      <c r="BT48" s="10">
        <f>BM48*13%</f>
        <v>1222.4333333333332</v>
      </c>
      <c r="BU48" s="10">
        <f t="shared" ref="BU48:BU70" si="72">IF(BB48&gt;21000,0,(BM48+BN48+BO48)*3.25%)</f>
        <v>414.75416666666666</v>
      </c>
      <c r="BV48" s="10">
        <f>SUM(BT48+BU48)</f>
        <v>1637.1874999999998</v>
      </c>
    </row>
    <row r="49" spans="1:74">
      <c r="A49" s="26">
        <v>48</v>
      </c>
      <c r="B49" s="21" t="s">
        <v>43</v>
      </c>
      <c r="C49" s="21" t="s">
        <v>21</v>
      </c>
      <c r="D49" s="26" t="s">
        <v>61</v>
      </c>
      <c r="E49" s="26"/>
      <c r="F49" s="26"/>
      <c r="G49" s="26" t="s">
        <v>62</v>
      </c>
      <c r="H49" s="32" t="s">
        <v>150</v>
      </c>
      <c r="I49" s="26" t="s">
        <v>64</v>
      </c>
      <c r="J49" s="26" t="s">
        <v>71</v>
      </c>
      <c r="K49" s="28" t="s">
        <v>151</v>
      </c>
      <c r="L49" s="28" t="s">
        <v>197</v>
      </c>
      <c r="M49" s="5">
        <f>30+1</f>
        <v>31</v>
      </c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6"/>
      <c r="AV49" s="8"/>
      <c r="AW49" s="7"/>
      <c r="AX49" s="8">
        <f t="shared" si="59"/>
        <v>0</v>
      </c>
      <c r="AY49" s="7">
        <f t="shared" si="68"/>
        <v>779.56989247311822</v>
      </c>
      <c r="AZ49" s="7">
        <f t="shared" si="71"/>
        <v>24166.666666666664</v>
      </c>
      <c r="BA49" s="10">
        <f t="shared" si="2"/>
        <v>31</v>
      </c>
      <c r="BB49" s="14">
        <v>21500</v>
      </c>
      <c r="BC49" s="10">
        <f t="shared" si="63"/>
        <v>22216.666666666664</v>
      </c>
      <c r="BD49" s="10">
        <v>1800</v>
      </c>
      <c r="BE49" s="10"/>
      <c r="BF49" s="10">
        <f t="shared" si="56"/>
        <v>20416.666666666664</v>
      </c>
      <c r="BG49" s="12">
        <f t="shared" si="41"/>
        <v>0</v>
      </c>
      <c r="BH49" s="13">
        <f t="shared" si="42"/>
        <v>20416.666666666664</v>
      </c>
      <c r="BI49" s="9">
        <v>0</v>
      </c>
      <c r="BJ49" s="10"/>
      <c r="BK49" s="10"/>
      <c r="BL49" s="10">
        <f t="shared" si="57"/>
        <v>0</v>
      </c>
      <c r="BM49" s="10">
        <f t="shared" si="8"/>
        <v>15000</v>
      </c>
      <c r="BN49" s="10">
        <f t="shared" si="9"/>
        <v>3332.4999999999995</v>
      </c>
      <c r="BO49" s="10">
        <f t="shared" si="10"/>
        <v>2221.6666666666665</v>
      </c>
      <c r="BP49" s="10">
        <f t="shared" si="11"/>
        <v>1110.8333333333333</v>
      </c>
      <c r="BQ49" s="10">
        <f>BM49*12%</f>
        <v>1800</v>
      </c>
      <c r="BR49" s="10">
        <f>IF(BB49&gt;21000,0,(BM49+BN49+BO49)*0.75%)</f>
        <v>0</v>
      </c>
      <c r="BS49" s="10">
        <f>BQ49+BR49</f>
        <v>1800</v>
      </c>
      <c r="BT49" s="10">
        <f>BM49*13%</f>
        <v>1950</v>
      </c>
      <c r="BU49" s="10">
        <f t="shared" ref="BU49" si="73">IF(BB49&gt;21000,0,(BM49+BN49+BO49)*3.25%)</f>
        <v>0</v>
      </c>
      <c r="BV49" s="10">
        <f>SUM(BT49+BU49)</f>
        <v>1950</v>
      </c>
    </row>
    <row r="50" spans="1:74">
      <c r="A50" s="26">
        <v>49</v>
      </c>
      <c r="B50" s="21" t="s">
        <v>43</v>
      </c>
      <c r="C50" s="21" t="s">
        <v>21</v>
      </c>
      <c r="D50" s="21" t="s">
        <v>61</v>
      </c>
      <c r="E50" s="27">
        <v>101328673705</v>
      </c>
      <c r="F50" s="27"/>
      <c r="G50" s="27" t="s">
        <v>62</v>
      </c>
      <c r="H50" s="32" t="s">
        <v>152</v>
      </c>
      <c r="I50" s="21" t="s">
        <v>64</v>
      </c>
      <c r="J50" s="21" t="s">
        <v>71</v>
      </c>
      <c r="K50" s="28" t="s">
        <v>153</v>
      </c>
      <c r="L50" s="28" t="s">
        <v>197</v>
      </c>
      <c r="M50" s="5">
        <f>30-2+1</f>
        <v>29</v>
      </c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6"/>
      <c r="AV50" s="8"/>
      <c r="AW50" s="7"/>
      <c r="AX50" s="8">
        <f t="shared" si="59"/>
        <v>0</v>
      </c>
      <c r="AY50" s="7">
        <f t="shared" si="68"/>
        <v>1000.5747126436783</v>
      </c>
      <c r="AZ50" s="7">
        <f t="shared" si="71"/>
        <v>29016.666666666668</v>
      </c>
      <c r="BA50" s="10">
        <f t="shared" si="2"/>
        <v>29</v>
      </c>
      <c r="BB50" s="11">
        <f>26500+1500</f>
        <v>28000</v>
      </c>
      <c r="BC50" s="10">
        <f t="shared" si="63"/>
        <v>27066.666666666668</v>
      </c>
      <c r="BD50" s="10">
        <v>1800</v>
      </c>
      <c r="BE50" s="10"/>
      <c r="BF50" s="10">
        <f t="shared" si="56"/>
        <v>25266.666666666668</v>
      </c>
      <c r="BG50" s="12">
        <f t="shared" si="41"/>
        <v>0</v>
      </c>
      <c r="BH50" s="13">
        <f t="shared" si="42"/>
        <v>25266.666666666668</v>
      </c>
      <c r="BI50" s="9">
        <v>0</v>
      </c>
      <c r="BJ50" s="10"/>
      <c r="BK50" s="10"/>
      <c r="BL50" s="10">
        <f t="shared" si="57"/>
        <v>0</v>
      </c>
      <c r="BM50" s="10">
        <f t="shared" si="8"/>
        <v>15000</v>
      </c>
      <c r="BN50" s="10">
        <f t="shared" si="9"/>
        <v>4060</v>
      </c>
      <c r="BO50" s="10">
        <f t="shared" si="10"/>
        <v>2706.666666666667</v>
      </c>
      <c r="BP50" s="10">
        <f t="shared" si="11"/>
        <v>1353.3333333333335</v>
      </c>
      <c r="BQ50" s="10">
        <f t="shared" ref="BQ50:BQ56" si="74">BM50*12%</f>
        <v>1800</v>
      </c>
      <c r="BR50" s="10">
        <f t="shared" ref="BR50:BR70" si="75">IF(BB50&gt;21000,0,(BM50+BN50+BO50)*0.75%)</f>
        <v>0</v>
      </c>
      <c r="BS50" s="10">
        <f t="shared" ref="BS50:BS70" si="76">BQ50+BR50</f>
        <v>1800</v>
      </c>
      <c r="BT50" s="10">
        <f t="shared" ref="BT50:BT70" si="77">BM50*13%</f>
        <v>1950</v>
      </c>
      <c r="BU50" s="10">
        <f t="shared" si="72"/>
        <v>0</v>
      </c>
      <c r="BV50" s="10">
        <f t="shared" ref="BV50:BV61" si="78">SUM(BT50+BU50)</f>
        <v>1950</v>
      </c>
    </row>
    <row r="51" spans="1:74">
      <c r="A51" s="21">
        <v>50</v>
      </c>
      <c r="B51" s="21" t="s">
        <v>43</v>
      </c>
      <c r="C51" s="21" t="s">
        <v>44</v>
      </c>
      <c r="D51" s="21" t="s">
        <v>67</v>
      </c>
      <c r="E51" s="27">
        <v>101840514704</v>
      </c>
      <c r="F51" s="27"/>
      <c r="G51" s="27" t="s">
        <v>62</v>
      </c>
      <c r="H51" s="32" t="s">
        <v>154</v>
      </c>
      <c r="I51" s="21" t="s">
        <v>64</v>
      </c>
      <c r="J51" s="21" t="s">
        <v>65</v>
      </c>
      <c r="K51" s="28" t="s">
        <v>155</v>
      </c>
      <c r="L51" s="28" t="s">
        <v>197</v>
      </c>
      <c r="M51" s="15"/>
      <c r="N51" s="6"/>
      <c r="O51" s="10">
        <f>30-2+1</f>
        <v>29</v>
      </c>
      <c r="P51" s="6"/>
      <c r="Q51" s="10"/>
      <c r="R51" s="6"/>
      <c r="S51" s="10"/>
      <c r="T51" s="6"/>
      <c r="U51" s="10"/>
      <c r="V51" s="6"/>
      <c r="W51" s="10"/>
      <c r="X51" s="6"/>
      <c r="Y51" s="10"/>
      <c r="Z51" s="6"/>
      <c r="AA51" s="10"/>
      <c r="AB51" s="6"/>
      <c r="AC51" s="10"/>
      <c r="AD51" s="6"/>
      <c r="AE51" s="10"/>
      <c r="AF51" s="6"/>
      <c r="AG51" s="10"/>
      <c r="AH51" s="6"/>
      <c r="AI51" s="10"/>
      <c r="AJ51" s="6"/>
      <c r="AK51" s="10"/>
      <c r="AL51" s="6"/>
      <c r="AM51" s="10"/>
      <c r="AN51" s="6"/>
      <c r="AO51" s="10"/>
      <c r="AP51" s="6"/>
      <c r="AQ51" s="10"/>
      <c r="AR51" s="6"/>
      <c r="AS51" s="10"/>
      <c r="AT51" s="6"/>
      <c r="AU51" s="6"/>
      <c r="AV51" s="8"/>
      <c r="AW51" s="10"/>
      <c r="AX51" s="8">
        <f t="shared" si="59"/>
        <v>0</v>
      </c>
      <c r="AY51" s="7">
        <f t="shared" si="68"/>
        <v>800.06666666666672</v>
      </c>
      <c r="AZ51" s="7">
        <f t="shared" si="71"/>
        <v>23201.933333333334</v>
      </c>
      <c r="BA51" s="10">
        <f t="shared" si="2"/>
        <v>29</v>
      </c>
      <c r="BB51" s="14">
        <f>20000+2000</f>
        <v>22000</v>
      </c>
      <c r="BC51" s="10">
        <f t="shared" si="63"/>
        <v>21266.666666666668</v>
      </c>
      <c r="BD51" s="10">
        <f t="shared" ref="BD51:BE56" si="79">BQ51</f>
        <v>1786.3999999999999</v>
      </c>
      <c r="BE51" s="10">
        <f t="shared" si="79"/>
        <v>0</v>
      </c>
      <c r="BF51" s="10">
        <f t="shared" si="56"/>
        <v>19480.266666666666</v>
      </c>
      <c r="BG51" s="12">
        <f t="shared" si="41"/>
        <v>0</v>
      </c>
      <c r="BH51" s="13">
        <f t="shared" si="42"/>
        <v>19480.266666666666</v>
      </c>
      <c r="BI51" s="9">
        <v>0</v>
      </c>
      <c r="BJ51" s="10"/>
      <c r="BK51" s="10"/>
      <c r="BL51" s="10">
        <f t="shared" si="57"/>
        <v>0</v>
      </c>
      <c r="BM51" s="10">
        <f t="shared" si="8"/>
        <v>14886.666666666666</v>
      </c>
      <c r="BN51" s="10">
        <f t="shared" si="9"/>
        <v>3190</v>
      </c>
      <c r="BO51" s="10">
        <f t="shared" si="10"/>
        <v>2126.666666666667</v>
      </c>
      <c r="BP51" s="10">
        <f t="shared" si="11"/>
        <v>1063.3333333333335</v>
      </c>
      <c r="BQ51" s="10">
        <f t="shared" si="74"/>
        <v>1786.3999999999999</v>
      </c>
      <c r="BR51" s="10">
        <f t="shared" si="75"/>
        <v>0</v>
      </c>
      <c r="BS51" s="10">
        <f t="shared" si="76"/>
        <v>1786.3999999999999</v>
      </c>
      <c r="BT51" s="10">
        <f t="shared" si="77"/>
        <v>1935.2666666666667</v>
      </c>
      <c r="BU51" s="10">
        <f t="shared" si="72"/>
        <v>0</v>
      </c>
      <c r="BV51" s="10">
        <f t="shared" si="78"/>
        <v>1935.2666666666667</v>
      </c>
    </row>
    <row r="52" spans="1:74">
      <c r="A52" s="26">
        <v>51</v>
      </c>
      <c r="B52" s="21" t="s">
        <v>43</v>
      </c>
      <c r="C52" s="21" t="s">
        <v>21</v>
      </c>
      <c r="D52" s="21" t="s">
        <v>67</v>
      </c>
      <c r="E52" s="27">
        <v>101319196199</v>
      </c>
      <c r="F52" s="27"/>
      <c r="G52" s="27" t="s">
        <v>62</v>
      </c>
      <c r="H52" s="32" t="s">
        <v>156</v>
      </c>
      <c r="I52" s="21" t="s">
        <v>64</v>
      </c>
      <c r="J52" s="21" t="s">
        <v>65</v>
      </c>
      <c r="K52" s="28" t="s">
        <v>157</v>
      </c>
      <c r="L52" s="28" t="s">
        <v>197</v>
      </c>
      <c r="M52" s="15"/>
      <c r="N52" s="6"/>
      <c r="O52" s="10"/>
      <c r="P52" s="6"/>
      <c r="Q52" s="10"/>
      <c r="R52" s="6"/>
      <c r="S52" s="10">
        <f>30-9</f>
        <v>21</v>
      </c>
      <c r="T52" s="6"/>
      <c r="U52" s="10"/>
      <c r="V52" s="6"/>
      <c r="W52" s="10"/>
      <c r="X52" s="6"/>
      <c r="Y52" s="10"/>
      <c r="Z52" s="6"/>
      <c r="AA52" s="10"/>
      <c r="AB52" s="6"/>
      <c r="AC52" s="10"/>
      <c r="AD52" s="6"/>
      <c r="AE52" s="10"/>
      <c r="AF52" s="6"/>
      <c r="AG52" s="10"/>
      <c r="AH52" s="6"/>
      <c r="AI52" s="10"/>
      <c r="AJ52" s="6"/>
      <c r="AK52" s="10"/>
      <c r="AL52" s="6"/>
      <c r="AM52" s="10"/>
      <c r="AN52" s="6"/>
      <c r="AO52" s="10"/>
      <c r="AP52" s="6"/>
      <c r="AQ52" s="10"/>
      <c r="AR52" s="6"/>
      <c r="AS52" s="10"/>
      <c r="AT52" s="6"/>
      <c r="AU52" s="6"/>
      <c r="AV52" s="8"/>
      <c r="AW52" s="10"/>
      <c r="AX52" s="8">
        <f t="shared" si="59"/>
        <v>0</v>
      </c>
      <c r="AY52" s="7">
        <f t="shared" si="68"/>
        <v>945.53333333333342</v>
      </c>
      <c r="AZ52" s="7">
        <f t="shared" si="71"/>
        <v>19856.2</v>
      </c>
      <c r="BA52" s="10">
        <f t="shared" si="2"/>
        <v>21</v>
      </c>
      <c r="BB52" s="14">
        <f>24500+1500</f>
        <v>26000</v>
      </c>
      <c r="BC52" s="10">
        <f t="shared" si="63"/>
        <v>18200</v>
      </c>
      <c r="BD52" s="10">
        <f t="shared" si="79"/>
        <v>1528.8</v>
      </c>
      <c r="BE52" s="10">
        <f t="shared" si="79"/>
        <v>0</v>
      </c>
      <c r="BF52" s="10">
        <f t="shared" si="56"/>
        <v>16671.2</v>
      </c>
      <c r="BG52" s="12">
        <f t="shared" si="41"/>
        <v>0</v>
      </c>
      <c r="BH52" s="13">
        <f t="shared" si="42"/>
        <v>16671.2</v>
      </c>
      <c r="BI52" s="9">
        <v>0</v>
      </c>
      <c r="BJ52" s="10"/>
      <c r="BK52" s="10"/>
      <c r="BL52" s="10">
        <f t="shared" si="57"/>
        <v>0</v>
      </c>
      <c r="BM52" s="10">
        <f t="shared" si="8"/>
        <v>12740</v>
      </c>
      <c r="BN52" s="10">
        <f t="shared" si="9"/>
        <v>2730</v>
      </c>
      <c r="BO52" s="10">
        <f t="shared" si="10"/>
        <v>1820</v>
      </c>
      <c r="BP52" s="10">
        <f t="shared" si="11"/>
        <v>910</v>
      </c>
      <c r="BQ52" s="10">
        <f t="shared" si="74"/>
        <v>1528.8</v>
      </c>
      <c r="BR52" s="10">
        <f t="shared" si="75"/>
        <v>0</v>
      </c>
      <c r="BS52" s="10">
        <f t="shared" si="76"/>
        <v>1528.8</v>
      </c>
      <c r="BT52" s="10">
        <f t="shared" si="77"/>
        <v>1656.2</v>
      </c>
      <c r="BU52" s="10">
        <f t="shared" si="72"/>
        <v>0</v>
      </c>
      <c r="BV52" s="10">
        <f t="shared" si="78"/>
        <v>1656.2</v>
      </c>
    </row>
    <row r="53" spans="1:74">
      <c r="A53" s="26">
        <v>52</v>
      </c>
      <c r="B53" s="21" t="s">
        <v>43</v>
      </c>
      <c r="C53" s="21" t="s">
        <v>22</v>
      </c>
      <c r="D53" s="26" t="s">
        <v>67</v>
      </c>
      <c r="E53" s="42">
        <v>101840514727</v>
      </c>
      <c r="F53" s="42"/>
      <c r="G53" s="26" t="s">
        <v>62</v>
      </c>
      <c r="H53" s="32" t="s">
        <v>158</v>
      </c>
      <c r="I53" s="21" t="s">
        <v>64</v>
      </c>
      <c r="J53" s="26" t="s">
        <v>71</v>
      </c>
      <c r="K53" s="28" t="s">
        <v>159</v>
      </c>
      <c r="L53" s="28" t="s">
        <v>197</v>
      </c>
      <c r="M53" s="5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6">
        <f>30+1</f>
        <v>31</v>
      </c>
      <c r="AV53" s="8"/>
      <c r="AW53" s="7"/>
      <c r="AX53" s="8">
        <f t="shared" si="59"/>
        <v>0</v>
      </c>
      <c r="AY53" s="7">
        <f t="shared" si="68"/>
        <v>747.91666666666663</v>
      </c>
      <c r="AZ53" s="7">
        <f t="shared" si="71"/>
        <v>23185.416666666664</v>
      </c>
      <c r="BA53" s="10">
        <f t="shared" si="2"/>
        <v>31</v>
      </c>
      <c r="BB53" s="14">
        <v>20000</v>
      </c>
      <c r="BC53" s="10">
        <f t="shared" si="63"/>
        <v>20666.666666666664</v>
      </c>
      <c r="BD53" s="10">
        <f t="shared" si="79"/>
        <v>1735.9999999999995</v>
      </c>
      <c r="BE53" s="10">
        <f t="shared" si="79"/>
        <v>147.24999999999997</v>
      </c>
      <c r="BF53" s="10">
        <f t="shared" si="56"/>
        <v>18783.416666666664</v>
      </c>
      <c r="BG53" s="12">
        <f t="shared" si="41"/>
        <v>0</v>
      </c>
      <c r="BH53" s="13">
        <f t="shared" si="42"/>
        <v>18783.416666666664</v>
      </c>
      <c r="BI53" s="9">
        <v>0</v>
      </c>
      <c r="BJ53" s="10"/>
      <c r="BK53" s="10"/>
      <c r="BL53" s="10">
        <f t="shared" si="57"/>
        <v>0</v>
      </c>
      <c r="BM53" s="10">
        <f t="shared" si="8"/>
        <v>14466.666666666664</v>
      </c>
      <c r="BN53" s="10">
        <f t="shared" si="9"/>
        <v>3099.9999999999995</v>
      </c>
      <c r="BO53" s="10">
        <f t="shared" si="10"/>
        <v>2066.6666666666665</v>
      </c>
      <c r="BP53" s="10">
        <f t="shared" si="11"/>
        <v>1033.3333333333333</v>
      </c>
      <c r="BQ53" s="10">
        <f t="shared" si="74"/>
        <v>1735.9999999999995</v>
      </c>
      <c r="BR53" s="10">
        <f t="shared" si="75"/>
        <v>147.24999999999997</v>
      </c>
      <c r="BS53" s="10">
        <f t="shared" si="76"/>
        <v>1883.2499999999995</v>
      </c>
      <c r="BT53" s="10">
        <f t="shared" si="77"/>
        <v>1880.6666666666665</v>
      </c>
      <c r="BU53" s="10">
        <f t="shared" si="72"/>
        <v>638.08333333333337</v>
      </c>
      <c r="BV53" s="10">
        <f t="shared" si="78"/>
        <v>2518.75</v>
      </c>
    </row>
    <row r="54" spans="1:74">
      <c r="A54" s="26">
        <v>53</v>
      </c>
      <c r="B54" s="21" t="s">
        <v>43</v>
      </c>
      <c r="C54" s="21" t="s">
        <v>17</v>
      </c>
      <c r="D54" s="21" t="s">
        <v>67</v>
      </c>
      <c r="E54" s="27">
        <v>101840514631</v>
      </c>
      <c r="F54" s="27"/>
      <c r="G54" s="27" t="s">
        <v>62</v>
      </c>
      <c r="H54" s="32" t="s">
        <v>160</v>
      </c>
      <c r="I54" s="21" t="s">
        <v>64</v>
      </c>
      <c r="J54" s="21" t="s">
        <v>65</v>
      </c>
      <c r="K54" s="28" t="s">
        <v>161</v>
      </c>
      <c r="L54" s="28" t="s">
        <v>197</v>
      </c>
      <c r="M54" s="15"/>
      <c r="N54" s="6"/>
      <c r="O54" s="10"/>
      <c r="P54" s="6"/>
      <c r="Q54" s="10"/>
      <c r="R54" s="6"/>
      <c r="S54" s="10"/>
      <c r="T54" s="6"/>
      <c r="U54" s="10"/>
      <c r="V54" s="6"/>
      <c r="W54" s="10"/>
      <c r="X54" s="6"/>
      <c r="Y54" s="10"/>
      <c r="Z54" s="6"/>
      <c r="AA54" s="10"/>
      <c r="AB54" s="6"/>
      <c r="AC54" s="10"/>
      <c r="AD54" s="6"/>
      <c r="AE54" s="10"/>
      <c r="AF54" s="6"/>
      <c r="AG54" s="10"/>
      <c r="AH54" s="6"/>
      <c r="AI54" s="10"/>
      <c r="AJ54" s="6"/>
      <c r="AK54" s="10">
        <f>30+1</f>
        <v>31</v>
      </c>
      <c r="AL54" s="6"/>
      <c r="AM54" s="10"/>
      <c r="AN54" s="6"/>
      <c r="AO54" s="10"/>
      <c r="AP54" s="6"/>
      <c r="AQ54" s="10"/>
      <c r="AR54" s="6"/>
      <c r="AS54" s="10"/>
      <c r="AT54" s="6"/>
      <c r="AU54" s="6"/>
      <c r="AV54" s="8"/>
      <c r="AW54" s="10"/>
      <c r="AX54" s="8">
        <f t="shared" si="59"/>
        <v>0</v>
      </c>
      <c r="AY54" s="7">
        <f t="shared" si="68"/>
        <v>729.21875</v>
      </c>
      <c r="AZ54" s="7">
        <f t="shared" si="71"/>
        <v>22605.78125</v>
      </c>
      <c r="BA54" s="10">
        <f t="shared" si="2"/>
        <v>31</v>
      </c>
      <c r="BB54" s="14">
        <f>17500+2000</f>
        <v>19500</v>
      </c>
      <c r="BC54" s="10">
        <f t="shared" si="63"/>
        <v>20150</v>
      </c>
      <c r="BD54" s="10">
        <f t="shared" si="79"/>
        <v>1692.6</v>
      </c>
      <c r="BE54" s="10">
        <f t="shared" si="79"/>
        <v>143.56874999999999</v>
      </c>
      <c r="BF54" s="10">
        <f t="shared" si="56"/>
        <v>18313.831250000003</v>
      </c>
      <c r="BG54" s="12">
        <f t="shared" si="41"/>
        <v>0</v>
      </c>
      <c r="BH54" s="13">
        <f t="shared" si="42"/>
        <v>18313.831250000003</v>
      </c>
      <c r="BI54" s="9">
        <v>0</v>
      </c>
      <c r="BJ54" s="10"/>
      <c r="BK54" s="10"/>
      <c r="BL54" s="10">
        <f t="shared" si="57"/>
        <v>0</v>
      </c>
      <c r="BM54" s="10">
        <f t="shared" si="8"/>
        <v>14105</v>
      </c>
      <c r="BN54" s="10">
        <f t="shared" si="9"/>
        <v>3022.5</v>
      </c>
      <c r="BO54" s="10">
        <f t="shared" si="10"/>
        <v>2015</v>
      </c>
      <c r="BP54" s="10">
        <f t="shared" si="11"/>
        <v>1007.5</v>
      </c>
      <c r="BQ54" s="10">
        <f t="shared" si="74"/>
        <v>1692.6</v>
      </c>
      <c r="BR54" s="10">
        <f t="shared" si="75"/>
        <v>143.56874999999999</v>
      </c>
      <c r="BS54" s="10">
        <f t="shared" si="76"/>
        <v>1836.1687499999998</v>
      </c>
      <c r="BT54" s="10">
        <f t="shared" si="77"/>
        <v>1833.65</v>
      </c>
      <c r="BU54" s="10">
        <f t="shared" si="72"/>
        <v>622.13125000000002</v>
      </c>
      <c r="BV54" s="10">
        <f t="shared" si="78"/>
        <v>2455.78125</v>
      </c>
    </row>
    <row r="55" spans="1:74">
      <c r="A55" s="21">
        <v>54</v>
      </c>
      <c r="B55" s="21" t="s">
        <v>43</v>
      </c>
      <c r="C55" s="21" t="s">
        <v>17</v>
      </c>
      <c r="D55" s="21" t="s">
        <v>67</v>
      </c>
      <c r="E55" s="27">
        <v>101840514612</v>
      </c>
      <c r="F55" s="27"/>
      <c r="G55" s="27" t="s">
        <v>62</v>
      </c>
      <c r="H55" s="32" t="s">
        <v>162</v>
      </c>
      <c r="I55" s="21" t="s">
        <v>64</v>
      </c>
      <c r="J55" s="21" t="s">
        <v>71</v>
      </c>
      <c r="K55" s="28" t="s">
        <v>163</v>
      </c>
      <c r="L55" s="28" t="s">
        <v>197</v>
      </c>
      <c r="M55" s="10">
        <f>30-4</f>
        <v>26</v>
      </c>
      <c r="N55" s="6"/>
      <c r="O55" s="10"/>
      <c r="P55" s="6"/>
      <c r="Q55" s="10"/>
      <c r="R55" s="6"/>
      <c r="S55" s="10"/>
      <c r="T55" s="6"/>
      <c r="U55" s="19"/>
      <c r="V55" s="6"/>
      <c r="W55" s="10"/>
      <c r="X55" s="6"/>
      <c r="Y55" s="10"/>
      <c r="Z55" s="6"/>
      <c r="AA55" s="10"/>
      <c r="AB55" s="6"/>
      <c r="AC55" s="10"/>
      <c r="AD55" s="6"/>
      <c r="AE55" s="10"/>
      <c r="AF55" s="6"/>
      <c r="AG55" s="10"/>
      <c r="AH55" s="6"/>
      <c r="AI55" s="10"/>
      <c r="AJ55" s="6"/>
      <c r="AK55" s="10"/>
      <c r="AL55" s="6"/>
      <c r="AM55" s="10"/>
      <c r="AN55" s="6"/>
      <c r="AO55" s="10"/>
      <c r="AP55" s="6"/>
      <c r="AQ55" s="10"/>
      <c r="AR55" s="6"/>
      <c r="AS55" s="10"/>
      <c r="AT55" s="6"/>
      <c r="AU55" s="6"/>
      <c r="AV55" s="8"/>
      <c r="AW55" s="10"/>
      <c r="AX55" s="8">
        <f t="shared" si="59"/>
        <v>0</v>
      </c>
      <c r="AY55" s="7">
        <f t="shared" si="68"/>
        <v>785.3125</v>
      </c>
      <c r="AZ55" s="7">
        <f t="shared" si="71"/>
        <v>20418.125</v>
      </c>
      <c r="BA55" s="10">
        <f t="shared" si="2"/>
        <v>26</v>
      </c>
      <c r="BB55" s="14">
        <f>19500+1500</f>
        <v>21000</v>
      </c>
      <c r="BC55" s="10">
        <f t="shared" si="63"/>
        <v>18200</v>
      </c>
      <c r="BD55" s="10">
        <f t="shared" si="79"/>
        <v>1528.8</v>
      </c>
      <c r="BE55" s="10">
        <f t="shared" si="79"/>
        <v>129.67499999999998</v>
      </c>
      <c r="BF55" s="10">
        <f t="shared" si="56"/>
        <v>16541.525000000001</v>
      </c>
      <c r="BG55" s="12">
        <f t="shared" si="41"/>
        <v>0</v>
      </c>
      <c r="BH55" s="13">
        <f t="shared" si="42"/>
        <v>16541.525000000001</v>
      </c>
      <c r="BI55" s="9">
        <v>0</v>
      </c>
      <c r="BJ55" s="10"/>
      <c r="BK55" s="10"/>
      <c r="BL55" s="10">
        <f t="shared" si="57"/>
        <v>0</v>
      </c>
      <c r="BM55" s="10">
        <f t="shared" si="8"/>
        <v>12740</v>
      </c>
      <c r="BN55" s="10">
        <f t="shared" si="9"/>
        <v>2730</v>
      </c>
      <c r="BO55" s="10">
        <f t="shared" si="10"/>
        <v>1820</v>
      </c>
      <c r="BP55" s="10">
        <f t="shared" si="11"/>
        <v>910</v>
      </c>
      <c r="BQ55" s="10">
        <f t="shared" si="74"/>
        <v>1528.8</v>
      </c>
      <c r="BR55" s="10">
        <f t="shared" si="75"/>
        <v>129.67499999999998</v>
      </c>
      <c r="BS55" s="10">
        <f t="shared" si="76"/>
        <v>1658.4749999999999</v>
      </c>
      <c r="BT55" s="10">
        <f t="shared" si="77"/>
        <v>1656.2</v>
      </c>
      <c r="BU55" s="10">
        <f t="shared" si="72"/>
        <v>561.92500000000007</v>
      </c>
      <c r="BV55" s="10">
        <f t="shared" si="78"/>
        <v>2218.125</v>
      </c>
    </row>
    <row r="56" spans="1:74">
      <c r="A56" s="26">
        <v>55</v>
      </c>
      <c r="B56" s="21" t="s">
        <v>43</v>
      </c>
      <c r="C56" s="21" t="s">
        <v>12</v>
      </c>
      <c r="D56" s="21" t="s">
        <v>67</v>
      </c>
      <c r="E56" s="27">
        <v>101840514817</v>
      </c>
      <c r="F56" s="27"/>
      <c r="G56" s="27" t="s">
        <v>62</v>
      </c>
      <c r="H56" s="32" t="s">
        <v>164</v>
      </c>
      <c r="I56" s="21" t="s">
        <v>64</v>
      </c>
      <c r="J56" s="21" t="s">
        <v>65</v>
      </c>
      <c r="K56" s="28" t="s">
        <v>165</v>
      </c>
      <c r="L56" s="28" t="s">
        <v>197</v>
      </c>
      <c r="M56" s="5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>
        <f>30+1</f>
        <v>31</v>
      </c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6"/>
      <c r="AV56" s="8"/>
      <c r="AW56" s="7"/>
      <c r="AX56" s="8">
        <f t="shared" si="59"/>
        <v>0</v>
      </c>
      <c r="AY56" s="7">
        <f t="shared" ref="AY56:AY67" si="80">SUM(BC56+BV56)/BA56</f>
        <v>691.82291666666663</v>
      </c>
      <c r="AZ56" s="7">
        <f t="shared" si="71"/>
        <v>21446.510416666664</v>
      </c>
      <c r="BA56" s="10">
        <f t="shared" si="2"/>
        <v>31</v>
      </c>
      <c r="BB56" s="11">
        <f>17000+1500</f>
        <v>18500</v>
      </c>
      <c r="BC56" s="10">
        <f t="shared" si="63"/>
        <v>19116.666666666664</v>
      </c>
      <c r="BD56" s="10">
        <f t="shared" si="79"/>
        <v>1605.7999999999997</v>
      </c>
      <c r="BE56" s="10">
        <f t="shared" si="79"/>
        <v>136.20624999999998</v>
      </c>
      <c r="BF56" s="10">
        <f t="shared" si="56"/>
        <v>17374.660416666666</v>
      </c>
      <c r="BG56" s="12">
        <f t="shared" si="41"/>
        <v>0</v>
      </c>
      <c r="BH56" s="13">
        <f t="shared" si="42"/>
        <v>17374.660416666666</v>
      </c>
      <c r="BI56" s="9">
        <v>0</v>
      </c>
      <c r="BJ56" s="10"/>
      <c r="BK56" s="10"/>
      <c r="BL56" s="10">
        <f t="shared" si="57"/>
        <v>0</v>
      </c>
      <c r="BM56" s="10">
        <f t="shared" si="8"/>
        <v>13381.666666666664</v>
      </c>
      <c r="BN56" s="10">
        <f t="shared" si="9"/>
        <v>2867.4999999999995</v>
      </c>
      <c r="BO56" s="10">
        <f t="shared" si="10"/>
        <v>1911.6666666666665</v>
      </c>
      <c r="BP56" s="10">
        <f t="shared" si="11"/>
        <v>955.83333333333326</v>
      </c>
      <c r="BQ56" s="10">
        <f t="shared" si="74"/>
        <v>1605.7999999999997</v>
      </c>
      <c r="BR56" s="10">
        <f t="shared" si="75"/>
        <v>136.20624999999998</v>
      </c>
      <c r="BS56" s="10">
        <f t="shared" si="76"/>
        <v>1742.0062499999997</v>
      </c>
      <c r="BT56" s="10">
        <f t="shared" si="77"/>
        <v>1739.6166666666663</v>
      </c>
      <c r="BU56" s="10">
        <f t="shared" si="72"/>
        <v>590.22708333333333</v>
      </c>
      <c r="BV56" s="10">
        <f t="shared" si="78"/>
        <v>2329.8437499999995</v>
      </c>
    </row>
    <row r="57" spans="1:74">
      <c r="A57" s="26">
        <v>56</v>
      </c>
      <c r="B57" s="21" t="s">
        <v>43</v>
      </c>
      <c r="C57" s="21" t="s">
        <v>44</v>
      </c>
      <c r="D57" s="21" t="s">
        <v>67</v>
      </c>
      <c r="E57" s="27"/>
      <c r="F57" s="27"/>
      <c r="G57" s="27" t="s">
        <v>62</v>
      </c>
      <c r="H57" s="32" t="s">
        <v>166</v>
      </c>
      <c r="I57" s="21" t="s">
        <v>64</v>
      </c>
      <c r="J57" s="21" t="s">
        <v>167</v>
      </c>
      <c r="K57" s="28" t="s">
        <v>168</v>
      </c>
      <c r="L57" s="28" t="s">
        <v>197</v>
      </c>
      <c r="M57" s="5">
        <v>30</v>
      </c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6"/>
      <c r="AV57" s="8"/>
      <c r="AW57" s="7"/>
      <c r="AX57" s="8">
        <f t="shared" si="59"/>
        <v>0</v>
      </c>
      <c r="AY57" s="7">
        <f t="shared" si="80"/>
        <v>1231.6666666666667</v>
      </c>
      <c r="AZ57" s="7">
        <f t="shared" si="71"/>
        <v>36950</v>
      </c>
      <c r="BA57" s="10">
        <f t="shared" si="2"/>
        <v>30</v>
      </c>
      <c r="BB57" s="14">
        <v>35000</v>
      </c>
      <c r="BC57" s="10">
        <f t="shared" ref="BC57:BC70" si="81">SUM(BB57/30*BA57)</f>
        <v>35000</v>
      </c>
      <c r="BD57" s="10"/>
      <c r="BE57" s="10">
        <f>BR57</f>
        <v>0</v>
      </c>
      <c r="BF57" s="10">
        <f t="shared" si="56"/>
        <v>35000</v>
      </c>
      <c r="BG57" s="12">
        <f t="shared" si="41"/>
        <v>0</v>
      </c>
      <c r="BH57" s="13">
        <f t="shared" si="42"/>
        <v>35000</v>
      </c>
      <c r="BI57" s="9">
        <v>0</v>
      </c>
      <c r="BJ57" s="10"/>
      <c r="BK57" s="10"/>
      <c r="BL57" s="10">
        <f t="shared" si="57"/>
        <v>0</v>
      </c>
      <c r="BM57" s="10">
        <f t="shared" si="8"/>
        <v>15000</v>
      </c>
      <c r="BN57" s="10">
        <f t="shared" si="9"/>
        <v>5250</v>
      </c>
      <c r="BO57" s="10">
        <f t="shared" si="10"/>
        <v>3500</v>
      </c>
      <c r="BP57" s="10">
        <f t="shared" si="11"/>
        <v>1750</v>
      </c>
      <c r="BQ57" s="10">
        <f t="shared" ref="BQ57" si="82">BM57*12%</f>
        <v>1800</v>
      </c>
      <c r="BR57" s="10">
        <f t="shared" ref="BR57" si="83">IF(BB57&gt;21000,0,(BM57+BN57+BO57)*0.75%)</f>
        <v>0</v>
      </c>
      <c r="BS57" s="10">
        <f t="shared" ref="BS57" si="84">BQ57+BR57</f>
        <v>1800</v>
      </c>
      <c r="BT57" s="10">
        <f t="shared" ref="BT57" si="85">BM57*13%</f>
        <v>1950</v>
      </c>
      <c r="BU57" s="10">
        <f t="shared" ref="BU57" si="86">IF(BB57&gt;21000,0,(BM57+BN57+BO57)*3.25%)</f>
        <v>0</v>
      </c>
      <c r="BV57" s="10">
        <f t="shared" ref="BV57" si="87">SUM(BT57+BU57)</f>
        <v>1950</v>
      </c>
    </row>
    <row r="58" spans="1:74">
      <c r="A58" s="26">
        <v>57</v>
      </c>
      <c r="B58" s="21" t="s">
        <v>43</v>
      </c>
      <c r="C58" s="21" t="s">
        <v>44</v>
      </c>
      <c r="D58" s="21" t="s">
        <v>67</v>
      </c>
      <c r="E58" s="27">
        <v>102226775239</v>
      </c>
      <c r="F58" s="27"/>
      <c r="G58" s="27" t="s">
        <v>62</v>
      </c>
      <c r="H58" s="32" t="s">
        <v>169</v>
      </c>
      <c r="I58" s="27" t="s">
        <v>75</v>
      </c>
      <c r="J58" s="21" t="s">
        <v>71</v>
      </c>
      <c r="K58" s="28" t="s">
        <v>170</v>
      </c>
      <c r="L58" s="28" t="s">
        <v>197</v>
      </c>
      <c r="M58" s="15">
        <f>30-7-7</f>
        <v>16</v>
      </c>
      <c r="N58" s="6"/>
      <c r="O58" s="10"/>
      <c r="P58" s="6"/>
      <c r="Q58" s="10"/>
      <c r="R58" s="6"/>
      <c r="S58" s="10"/>
      <c r="T58" s="6"/>
      <c r="U58" s="10">
        <v>7</v>
      </c>
      <c r="V58" s="6"/>
      <c r="W58" s="10"/>
      <c r="X58" s="6"/>
      <c r="Y58" s="10"/>
      <c r="Z58" s="6"/>
      <c r="AA58" s="10"/>
      <c r="AB58" s="6"/>
      <c r="AC58" s="10"/>
      <c r="AD58" s="6"/>
      <c r="AE58" s="10"/>
      <c r="AF58" s="6"/>
      <c r="AG58" s="10"/>
      <c r="AH58" s="6"/>
      <c r="AI58" s="10"/>
      <c r="AJ58" s="6"/>
      <c r="AK58" s="10"/>
      <c r="AL58" s="6"/>
      <c r="AM58" s="10"/>
      <c r="AN58" s="6"/>
      <c r="AO58" s="10"/>
      <c r="AP58" s="6"/>
      <c r="AQ58" s="10"/>
      <c r="AR58" s="6"/>
      <c r="AS58" s="10"/>
      <c r="AT58" s="6"/>
      <c r="AU58" s="6"/>
      <c r="AV58" s="8"/>
      <c r="AW58" s="10"/>
      <c r="AX58" s="8">
        <f t="shared" si="59"/>
        <v>0</v>
      </c>
      <c r="AY58" s="7">
        <f t="shared" si="80"/>
        <v>486.14583333333331</v>
      </c>
      <c r="AZ58" s="7">
        <f t="shared" si="71"/>
        <v>11181.354166666666</v>
      </c>
      <c r="BA58" s="10">
        <f t="shared" si="2"/>
        <v>23</v>
      </c>
      <c r="BB58" s="14">
        <v>13000</v>
      </c>
      <c r="BC58" s="10">
        <f t="shared" si="81"/>
        <v>9966.6666666666661</v>
      </c>
      <c r="BD58" s="10">
        <f t="shared" ref="BD58:BE66" si="88">BQ58</f>
        <v>837.19999999999993</v>
      </c>
      <c r="BE58" s="10">
        <f t="shared" si="88"/>
        <v>71.012499999999989</v>
      </c>
      <c r="BF58" s="10">
        <f t="shared" si="56"/>
        <v>9058.4541666666646</v>
      </c>
      <c r="BG58" s="12">
        <f t="shared" si="41"/>
        <v>2000</v>
      </c>
      <c r="BH58" s="13">
        <f t="shared" si="42"/>
        <v>7058.4541666666646</v>
      </c>
      <c r="BI58" s="9">
        <v>0</v>
      </c>
      <c r="BJ58" s="10">
        <v>2000</v>
      </c>
      <c r="BK58" s="10">
        <v>2000</v>
      </c>
      <c r="BL58" s="10">
        <f t="shared" si="57"/>
        <v>0</v>
      </c>
      <c r="BM58" s="10">
        <f t="shared" si="8"/>
        <v>6976.6666666666661</v>
      </c>
      <c r="BN58" s="10">
        <f t="shared" si="9"/>
        <v>1494.9999999999998</v>
      </c>
      <c r="BO58" s="10">
        <f t="shared" si="10"/>
        <v>996.66666666666663</v>
      </c>
      <c r="BP58" s="10">
        <f t="shared" si="11"/>
        <v>498.33333333333331</v>
      </c>
      <c r="BQ58" s="10">
        <f t="shared" ref="BQ58:BQ70" si="89">BM58*12%</f>
        <v>837.19999999999993</v>
      </c>
      <c r="BR58" s="10">
        <f t="shared" si="75"/>
        <v>71.012499999999989</v>
      </c>
      <c r="BS58" s="10">
        <f t="shared" si="76"/>
        <v>908.21249999999986</v>
      </c>
      <c r="BT58" s="10">
        <f t="shared" si="77"/>
        <v>906.96666666666658</v>
      </c>
      <c r="BU58" s="10">
        <f t="shared" si="72"/>
        <v>307.7208333333333</v>
      </c>
      <c r="BV58" s="10">
        <f t="shared" si="78"/>
        <v>1214.6875</v>
      </c>
    </row>
    <row r="59" spans="1:74">
      <c r="A59" s="21">
        <v>58</v>
      </c>
      <c r="B59" s="21" t="s">
        <v>43</v>
      </c>
      <c r="C59" s="21" t="s">
        <v>44</v>
      </c>
      <c r="D59" s="21" t="s">
        <v>67</v>
      </c>
      <c r="E59" s="27">
        <v>101451690086</v>
      </c>
      <c r="F59" s="27"/>
      <c r="G59" s="27" t="s">
        <v>62</v>
      </c>
      <c r="H59" s="32" t="s">
        <v>171</v>
      </c>
      <c r="I59" s="21" t="s">
        <v>64</v>
      </c>
      <c r="J59" s="21" t="s">
        <v>65</v>
      </c>
      <c r="K59" s="28" t="s">
        <v>172</v>
      </c>
      <c r="L59" s="28" t="s">
        <v>197</v>
      </c>
      <c r="M59" s="15"/>
      <c r="N59" s="6"/>
      <c r="O59" s="10"/>
      <c r="P59" s="6"/>
      <c r="Q59" s="10">
        <f>30+1</f>
        <v>31</v>
      </c>
      <c r="R59" s="6"/>
      <c r="S59" s="10"/>
      <c r="T59" s="6"/>
      <c r="U59" s="10"/>
      <c r="V59" s="6"/>
      <c r="W59" s="10"/>
      <c r="X59" s="6"/>
      <c r="Y59" s="10"/>
      <c r="Z59" s="6"/>
      <c r="AA59" s="10"/>
      <c r="AB59" s="6"/>
      <c r="AC59" s="10"/>
      <c r="AD59" s="6"/>
      <c r="AE59" s="10"/>
      <c r="AF59" s="6"/>
      <c r="AG59" s="10"/>
      <c r="AH59" s="6"/>
      <c r="AI59" s="10"/>
      <c r="AJ59" s="6"/>
      <c r="AK59" s="10"/>
      <c r="AL59" s="6"/>
      <c r="AM59" s="10"/>
      <c r="AN59" s="6"/>
      <c r="AO59" s="10"/>
      <c r="AP59" s="6"/>
      <c r="AQ59" s="10"/>
      <c r="AR59" s="6"/>
      <c r="AS59" s="10"/>
      <c r="AT59" s="6"/>
      <c r="AU59" s="6"/>
      <c r="AV59" s="8"/>
      <c r="AW59" s="10"/>
      <c r="AX59" s="8">
        <f t="shared" si="59"/>
        <v>0</v>
      </c>
      <c r="AY59" s="7">
        <f t="shared" si="80"/>
        <v>560.9375</v>
      </c>
      <c r="AZ59" s="7">
        <f t="shared" si="71"/>
        <v>17389.0625</v>
      </c>
      <c r="BA59" s="10">
        <f t="shared" si="2"/>
        <v>31</v>
      </c>
      <c r="BB59" s="14">
        <f>13500+1500</f>
        <v>15000</v>
      </c>
      <c r="BC59" s="10">
        <f t="shared" si="81"/>
        <v>15500</v>
      </c>
      <c r="BD59" s="10">
        <f t="shared" si="88"/>
        <v>1302</v>
      </c>
      <c r="BE59" s="10">
        <f t="shared" si="88"/>
        <v>110.4375</v>
      </c>
      <c r="BF59" s="10">
        <f t="shared" si="56"/>
        <v>14087.5625</v>
      </c>
      <c r="BG59" s="12">
        <f t="shared" si="41"/>
        <v>0</v>
      </c>
      <c r="BH59" s="13">
        <f t="shared" si="42"/>
        <v>14087.5625</v>
      </c>
      <c r="BI59" s="9">
        <v>0</v>
      </c>
      <c r="BJ59" s="10"/>
      <c r="BK59" s="10"/>
      <c r="BL59" s="10">
        <f t="shared" si="57"/>
        <v>0</v>
      </c>
      <c r="BM59" s="10">
        <f t="shared" si="8"/>
        <v>10850</v>
      </c>
      <c r="BN59" s="10">
        <f t="shared" si="9"/>
        <v>2325</v>
      </c>
      <c r="BO59" s="10">
        <f t="shared" si="10"/>
        <v>1550</v>
      </c>
      <c r="BP59" s="10">
        <f t="shared" si="11"/>
        <v>775</v>
      </c>
      <c r="BQ59" s="10">
        <f t="shared" si="89"/>
        <v>1302</v>
      </c>
      <c r="BR59" s="10">
        <f t="shared" si="75"/>
        <v>110.4375</v>
      </c>
      <c r="BS59" s="10">
        <f t="shared" si="76"/>
        <v>1412.4375</v>
      </c>
      <c r="BT59" s="10">
        <f t="shared" si="77"/>
        <v>1410.5</v>
      </c>
      <c r="BU59" s="10">
        <f t="shared" si="72"/>
        <v>478.5625</v>
      </c>
      <c r="BV59" s="10">
        <f t="shared" si="78"/>
        <v>1889.0625</v>
      </c>
    </row>
    <row r="60" spans="1:74">
      <c r="A60" s="26">
        <v>59</v>
      </c>
      <c r="B60" s="21" t="s">
        <v>43</v>
      </c>
      <c r="C60" s="21" t="s">
        <v>21</v>
      </c>
      <c r="D60" s="21" t="s">
        <v>67</v>
      </c>
      <c r="E60" s="27">
        <v>100211108290</v>
      </c>
      <c r="F60" s="27"/>
      <c r="G60" s="27" t="s">
        <v>62</v>
      </c>
      <c r="H60" s="32" t="s">
        <v>173</v>
      </c>
      <c r="I60" s="21" t="s">
        <v>64</v>
      </c>
      <c r="J60" s="21" t="s">
        <v>65</v>
      </c>
      <c r="K60" s="28" t="s">
        <v>174</v>
      </c>
      <c r="L60" s="28" t="s">
        <v>197</v>
      </c>
      <c r="M60" s="15"/>
      <c r="N60" s="6"/>
      <c r="O60" s="10"/>
      <c r="P60" s="6"/>
      <c r="Q60" s="10">
        <f>30+1</f>
        <v>31</v>
      </c>
      <c r="R60" s="6"/>
      <c r="S60" s="10"/>
      <c r="T60" s="6"/>
      <c r="U60" s="10"/>
      <c r="V60" s="6"/>
      <c r="W60" s="10"/>
      <c r="X60" s="6"/>
      <c r="Y60" s="10"/>
      <c r="Z60" s="6"/>
      <c r="AA60" s="10"/>
      <c r="AB60" s="6"/>
      <c r="AC60" s="10"/>
      <c r="AD60" s="6"/>
      <c r="AE60" s="10"/>
      <c r="AF60" s="6"/>
      <c r="AG60" s="10"/>
      <c r="AH60" s="6"/>
      <c r="AI60" s="10"/>
      <c r="AJ60" s="6"/>
      <c r="AK60" s="10"/>
      <c r="AL60" s="6"/>
      <c r="AM60" s="10"/>
      <c r="AN60" s="6"/>
      <c r="AO60" s="10"/>
      <c r="AP60" s="6"/>
      <c r="AQ60" s="10"/>
      <c r="AR60" s="6"/>
      <c r="AS60" s="10"/>
      <c r="AT60" s="6"/>
      <c r="AU60" s="6"/>
      <c r="AV60" s="8"/>
      <c r="AW60" s="10"/>
      <c r="AX60" s="8">
        <f t="shared" si="59"/>
        <v>0</v>
      </c>
      <c r="AY60" s="7">
        <f t="shared" si="80"/>
        <v>1112.9032258064517</v>
      </c>
      <c r="AZ60" s="7">
        <f t="shared" si="71"/>
        <v>34500</v>
      </c>
      <c r="BA60" s="10">
        <f t="shared" si="2"/>
        <v>31</v>
      </c>
      <c r="BB60" s="14">
        <f>30000+1500</f>
        <v>31500</v>
      </c>
      <c r="BC60" s="10">
        <f t="shared" si="81"/>
        <v>32550</v>
      </c>
      <c r="BD60" s="10">
        <f t="shared" si="88"/>
        <v>1800</v>
      </c>
      <c r="BE60" s="10">
        <f t="shared" si="88"/>
        <v>0</v>
      </c>
      <c r="BF60" s="10">
        <f t="shared" si="56"/>
        <v>30750</v>
      </c>
      <c r="BG60" s="12">
        <f t="shared" si="41"/>
        <v>0</v>
      </c>
      <c r="BH60" s="13">
        <f t="shared" si="42"/>
        <v>30750</v>
      </c>
      <c r="BI60" s="9">
        <v>0</v>
      </c>
      <c r="BJ60" s="10"/>
      <c r="BK60" s="10"/>
      <c r="BL60" s="10">
        <f t="shared" si="57"/>
        <v>0</v>
      </c>
      <c r="BM60" s="10">
        <f t="shared" si="8"/>
        <v>15000</v>
      </c>
      <c r="BN60" s="10">
        <f t="shared" si="9"/>
        <v>4882.5</v>
      </c>
      <c r="BO60" s="10">
        <f t="shared" si="10"/>
        <v>3255</v>
      </c>
      <c r="BP60" s="10">
        <f t="shared" si="11"/>
        <v>1627.5</v>
      </c>
      <c r="BQ60" s="10">
        <f t="shared" si="89"/>
        <v>1800</v>
      </c>
      <c r="BR60" s="10">
        <f t="shared" si="75"/>
        <v>0</v>
      </c>
      <c r="BS60" s="10">
        <f t="shared" si="76"/>
        <v>1800</v>
      </c>
      <c r="BT60" s="10">
        <f t="shared" si="77"/>
        <v>1950</v>
      </c>
      <c r="BU60" s="10">
        <f t="shared" si="72"/>
        <v>0</v>
      </c>
      <c r="BV60" s="10">
        <f t="shared" si="78"/>
        <v>1950</v>
      </c>
    </row>
    <row r="61" spans="1:74">
      <c r="A61" s="26">
        <v>60</v>
      </c>
      <c r="B61" s="21" t="s">
        <v>43</v>
      </c>
      <c r="C61" s="21" t="s">
        <v>44</v>
      </c>
      <c r="D61" s="26" t="s">
        <v>175</v>
      </c>
      <c r="E61" s="27">
        <v>101780358337</v>
      </c>
      <c r="F61" s="27"/>
      <c r="G61" s="27" t="s">
        <v>62</v>
      </c>
      <c r="H61" s="32" t="s">
        <v>176</v>
      </c>
      <c r="I61" s="26" t="s">
        <v>64</v>
      </c>
      <c r="J61" s="26" t="s">
        <v>65</v>
      </c>
      <c r="K61" s="28" t="s">
        <v>177</v>
      </c>
      <c r="L61" s="28" t="s">
        <v>197</v>
      </c>
      <c r="M61" s="5">
        <f>30+1</f>
        <v>31</v>
      </c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6"/>
      <c r="AV61" s="8"/>
      <c r="AW61" s="7"/>
      <c r="AX61" s="8">
        <f t="shared" si="59"/>
        <v>0</v>
      </c>
      <c r="AY61" s="7">
        <f t="shared" si="80"/>
        <v>691.82291666666663</v>
      </c>
      <c r="AZ61" s="7">
        <f>BA61*AY61</f>
        <v>21446.510416666664</v>
      </c>
      <c r="BA61" s="10">
        <f t="shared" si="2"/>
        <v>31</v>
      </c>
      <c r="BB61" s="11">
        <v>18500</v>
      </c>
      <c r="BC61" s="10">
        <f t="shared" si="81"/>
        <v>19116.666666666664</v>
      </c>
      <c r="BD61" s="10">
        <f t="shared" si="88"/>
        <v>1605.7999999999997</v>
      </c>
      <c r="BE61" s="10">
        <f t="shared" si="88"/>
        <v>136.20624999999998</v>
      </c>
      <c r="BF61" s="10">
        <f t="shared" si="56"/>
        <v>17374.660416666666</v>
      </c>
      <c r="BG61" s="12"/>
      <c r="BH61" s="13">
        <f t="shared" si="42"/>
        <v>17374.660416666666</v>
      </c>
      <c r="BI61" s="9">
        <v>0</v>
      </c>
      <c r="BJ61" s="7"/>
      <c r="BK61" s="7"/>
      <c r="BL61" s="10">
        <f t="shared" si="57"/>
        <v>0</v>
      </c>
      <c r="BM61" s="10">
        <f t="shared" si="8"/>
        <v>13381.666666666664</v>
      </c>
      <c r="BN61" s="10">
        <f t="shared" si="9"/>
        <v>2867.4999999999995</v>
      </c>
      <c r="BO61" s="10">
        <f t="shared" si="10"/>
        <v>1911.6666666666665</v>
      </c>
      <c r="BP61" s="10">
        <f t="shared" si="11"/>
        <v>955.83333333333326</v>
      </c>
      <c r="BQ61" s="10">
        <f t="shared" si="89"/>
        <v>1605.7999999999997</v>
      </c>
      <c r="BR61" s="10">
        <f t="shared" si="75"/>
        <v>136.20624999999998</v>
      </c>
      <c r="BS61" s="10">
        <f t="shared" si="76"/>
        <v>1742.0062499999997</v>
      </c>
      <c r="BT61" s="10">
        <f t="shared" si="77"/>
        <v>1739.6166666666663</v>
      </c>
      <c r="BU61" s="10">
        <f t="shared" si="72"/>
        <v>590.22708333333333</v>
      </c>
      <c r="BV61" s="10">
        <f t="shared" si="78"/>
        <v>2329.8437499999995</v>
      </c>
    </row>
    <row r="62" spans="1:74">
      <c r="A62" s="26">
        <v>61</v>
      </c>
      <c r="B62" s="21" t="s">
        <v>43</v>
      </c>
      <c r="C62" s="21" t="s">
        <v>44</v>
      </c>
      <c r="D62" s="21" t="s">
        <v>67</v>
      </c>
      <c r="E62" s="27">
        <v>102095603963</v>
      </c>
      <c r="F62" s="27"/>
      <c r="G62" s="27" t="s">
        <v>62</v>
      </c>
      <c r="H62" s="32" t="s">
        <v>178</v>
      </c>
      <c r="I62" s="21" t="s">
        <v>75</v>
      </c>
      <c r="J62" s="21" t="s">
        <v>65</v>
      </c>
      <c r="K62" s="28" t="s">
        <v>179</v>
      </c>
      <c r="L62" s="28" t="s">
        <v>197</v>
      </c>
      <c r="M62" s="15">
        <f>30+1</f>
        <v>31</v>
      </c>
      <c r="N62" s="6"/>
      <c r="O62" s="10"/>
      <c r="P62" s="6"/>
      <c r="Q62" s="10"/>
      <c r="R62" s="6"/>
      <c r="S62" s="10"/>
      <c r="T62" s="6"/>
      <c r="U62" s="10"/>
      <c r="V62" s="6"/>
      <c r="W62" s="10"/>
      <c r="X62" s="6"/>
      <c r="Y62" s="10"/>
      <c r="Z62" s="6"/>
      <c r="AA62" s="10"/>
      <c r="AB62" s="6"/>
      <c r="AC62" s="10"/>
      <c r="AD62" s="6"/>
      <c r="AE62" s="10"/>
      <c r="AF62" s="6"/>
      <c r="AG62" s="10"/>
      <c r="AH62" s="6"/>
      <c r="AI62" s="10"/>
      <c r="AJ62" s="6"/>
      <c r="AK62" s="10"/>
      <c r="AL62" s="6"/>
      <c r="AM62" s="10"/>
      <c r="AN62" s="6"/>
      <c r="AO62" s="10"/>
      <c r="AP62" s="6"/>
      <c r="AQ62" s="10"/>
      <c r="AR62" s="6"/>
      <c r="AS62" s="10"/>
      <c r="AT62" s="6"/>
      <c r="AU62" s="6"/>
      <c r="AV62" s="8"/>
      <c r="AW62" s="10"/>
      <c r="AX62" s="8">
        <f t="shared" si="59"/>
        <v>0</v>
      </c>
      <c r="AY62" s="7">
        <f t="shared" si="80"/>
        <v>486.14583333333331</v>
      </c>
      <c r="AZ62" s="7">
        <f t="shared" ref="AZ62:AZ70" si="90">BA62*AY62</f>
        <v>15070.520833333332</v>
      </c>
      <c r="BA62" s="10">
        <f t="shared" si="2"/>
        <v>31</v>
      </c>
      <c r="BB62" s="14">
        <f>11500+1500</f>
        <v>13000</v>
      </c>
      <c r="BC62" s="10">
        <f t="shared" si="81"/>
        <v>13433.333333333332</v>
      </c>
      <c r="BD62" s="10">
        <f t="shared" si="88"/>
        <v>1128.3999999999999</v>
      </c>
      <c r="BE62" s="10">
        <f t="shared" si="88"/>
        <v>95.712499999999991</v>
      </c>
      <c r="BF62" s="10">
        <f t="shared" si="56"/>
        <v>12209.220833333333</v>
      </c>
      <c r="BG62" s="12">
        <f t="shared" ref="BG62:BG70" si="91">BK62</f>
        <v>0</v>
      </c>
      <c r="BH62" s="13">
        <f t="shared" si="42"/>
        <v>12209.220833333333</v>
      </c>
      <c r="BI62" s="9">
        <v>0</v>
      </c>
      <c r="BJ62" s="10"/>
      <c r="BK62" s="10"/>
      <c r="BL62" s="10">
        <f t="shared" si="57"/>
        <v>0</v>
      </c>
      <c r="BM62" s="10">
        <f t="shared" si="8"/>
        <v>9403.3333333333321</v>
      </c>
      <c r="BN62" s="10">
        <f t="shared" si="9"/>
        <v>2014.9999999999998</v>
      </c>
      <c r="BO62" s="10">
        <f t="shared" si="10"/>
        <v>1343.3333333333333</v>
      </c>
      <c r="BP62" s="10">
        <f t="shared" si="11"/>
        <v>671.66666666666663</v>
      </c>
      <c r="BQ62" s="10">
        <f t="shared" si="89"/>
        <v>1128.3999999999999</v>
      </c>
      <c r="BR62" s="10">
        <f t="shared" si="75"/>
        <v>95.712499999999991</v>
      </c>
      <c r="BS62" s="10">
        <f t="shared" si="76"/>
        <v>1224.1125</v>
      </c>
      <c r="BT62" s="10">
        <f t="shared" si="77"/>
        <v>1222.4333333333332</v>
      </c>
      <c r="BU62" s="10">
        <f t="shared" si="72"/>
        <v>414.75416666666666</v>
      </c>
      <c r="BV62" s="10">
        <f t="shared" ref="BV62:BV63" si="92">SUM(BT62+BU62)</f>
        <v>1637.1874999999998</v>
      </c>
    </row>
    <row r="63" spans="1:74">
      <c r="A63" s="21">
        <v>62</v>
      </c>
      <c r="B63" s="21" t="s">
        <v>43</v>
      </c>
      <c r="C63" s="21" t="s">
        <v>44</v>
      </c>
      <c r="D63" s="21" t="s">
        <v>67</v>
      </c>
      <c r="E63" s="27">
        <v>101970491915</v>
      </c>
      <c r="F63" s="27"/>
      <c r="G63" s="27" t="s">
        <v>62</v>
      </c>
      <c r="H63" s="32" t="s">
        <v>180</v>
      </c>
      <c r="I63" s="27" t="s">
        <v>75</v>
      </c>
      <c r="J63" s="21" t="s">
        <v>65</v>
      </c>
      <c r="K63" s="28" t="s">
        <v>181</v>
      </c>
      <c r="L63" s="28" t="s">
        <v>197</v>
      </c>
      <c r="M63" s="15">
        <f>30+1</f>
        <v>31</v>
      </c>
      <c r="N63" s="6"/>
      <c r="O63" s="10"/>
      <c r="P63" s="6"/>
      <c r="Q63" s="10"/>
      <c r="R63" s="6"/>
      <c r="S63" s="10"/>
      <c r="T63" s="6"/>
      <c r="U63" s="10"/>
      <c r="V63" s="6"/>
      <c r="W63" s="10"/>
      <c r="X63" s="6"/>
      <c r="Y63" s="10"/>
      <c r="Z63" s="6"/>
      <c r="AA63" s="10"/>
      <c r="AB63" s="6"/>
      <c r="AC63" s="10"/>
      <c r="AD63" s="6"/>
      <c r="AE63" s="10"/>
      <c r="AF63" s="6"/>
      <c r="AG63" s="10"/>
      <c r="AH63" s="6"/>
      <c r="AI63" s="10"/>
      <c r="AJ63" s="6"/>
      <c r="AK63" s="10"/>
      <c r="AL63" s="6"/>
      <c r="AM63" s="10"/>
      <c r="AN63" s="6"/>
      <c r="AO63" s="10"/>
      <c r="AP63" s="6"/>
      <c r="AQ63" s="10"/>
      <c r="AR63" s="6"/>
      <c r="AS63" s="10"/>
      <c r="AT63" s="6"/>
      <c r="AU63" s="6"/>
      <c r="AV63" s="8"/>
      <c r="AW63" s="10"/>
      <c r="AX63" s="8">
        <f t="shared" si="59"/>
        <v>0</v>
      </c>
      <c r="AY63" s="7">
        <f t="shared" si="80"/>
        <v>523.54166666666674</v>
      </c>
      <c r="AZ63" s="7">
        <f t="shared" si="90"/>
        <v>16229.79166666667</v>
      </c>
      <c r="BA63" s="10">
        <f t="shared" si="2"/>
        <v>31</v>
      </c>
      <c r="BB63" s="14">
        <f>11500+1500+1000</f>
        <v>14000</v>
      </c>
      <c r="BC63" s="10">
        <f t="shared" si="81"/>
        <v>14466.666666666668</v>
      </c>
      <c r="BD63" s="10">
        <f t="shared" si="88"/>
        <v>1215.1999999999998</v>
      </c>
      <c r="BE63" s="10">
        <f t="shared" si="88"/>
        <v>103.07499999999999</v>
      </c>
      <c r="BF63" s="10">
        <f t="shared" si="56"/>
        <v>13148.391666666666</v>
      </c>
      <c r="BG63" s="12">
        <f t="shared" si="91"/>
        <v>0</v>
      </c>
      <c r="BH63" s="13">
        <f t="shared" si="42"/>
        <v>13148.391666666666</v>
      </c>
      <c r="BI63" s="9">
        <v>0</v>
      </c>
      <c r="BJ63" s="10"/>
      <c r="BK63" s="10"/>
      <c r="BL63" s="10">
        <f t="shared" si="57"/>
        <v>0</v>
      </c>
      <c r="BM63" s="10">
        <f t="shared" si="8"/>
        <v>10126.666666666666</v>
      </c>
      <c r="BN63" s="10">
        <f t="shared" si="9"/>
        <v>2170</v>
      </c>
      <c r="BO63" s="10">
        <f t="shared" si="10"/>
        <v>1446.666666666667</v>
      </c>
      <c r="BP63" s="10">
        <f t="shared" si="11"/>
        <v>723.33333333333348</v>
      </c>
      <c r="BQ63" s="10">
        <f t="shared" si="89"/>
        <v>1215.1999999999998</v>
      </c>
      <c r="BR63" s="10">
        <f t="shared" si="75"/>
        <v>103.07499999999999</v>
      </c>
      <c r="BS63" s="10">
        <f t="shared" si="76"/>
        <v>1318.2749999999999</v>
      </c>
      <c r="BT63" s="10">
        <f t="shared" si="77"/>
        <v>1316.4666666666667</v>
      </c>
      <c r="BU63" s="10">
        <f t="shared" si="72"/>
        <v>446.6583333333333</v>
      </c>
      <c r="BV63" s="10">
        <f t="shared" si="92"/>
        <v>1763.125</v>
      </c>
    </row>
    <row r="64" spans="1:74">
      <c r="A64" s="26">
        <v>63</v>
      </c>
      <c r="B64" s="26" t="s">
        <v>43</v>
      </c>
      <c r="C64" s="26" t="s">
        <v>13</v>
      </c>
      <c r="D64" s="26" t="s">
        <v>67</v>
      </c>
      <c r="E64" s="27">
        <v>101840514373</v>
      </c>
      <c r="F64" s="27"/>
      <c r="G64" s="26" t="s">
        <v>62</v>
      </c>
      <c r="H64" s="32" t="s">
        <v>182</v>
      </c>
      <c r="I64" s="21" t="s">
        <v>64</v>
      </c>
      <c r="J64" s="26" t="s">
        <v>65</v>
      </c>
      <c r="K64" s="28" t="s">
        <v>183</v>
      </c>
      <c r="L64" s="28" t="s">
        <v>197</v>
      </c>
      <c r="M64" s="5"/>
      <c r="N64" s="6"/>
      <c r="O64" s="7"/>
      <c r="P64" s="6"/>
      <c r="Q64" s="7"/>
      <c r="R64" s="6"/>
      <c r="S64" s="7"/>
      <c r="T64" s="6"/>
      <c r="U64" s="8"/>
      <c r="V64" s="6"/>
      <c r="W64" s="7"/>
      <c r="X64" s="6"/>
      <c r="Y64" s="7"/>
      <c r="Z64" s="6"/>
      <c r="AA64" s="7"/>
      <c r="AB64" s="6"/>
      <c r="AC64" s="7">
        <f>30+1</f>
        <v>31</v>
      </c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6"/>
      <c r="AV64" s="8"/>
      <c r="AW64" s="7"/>
      <c r="AX64" s="8">
        <f t="shared" si="59"/>
        <v>0</v>
      </c>
      <c r="AY64" s="7">
        <f t="shared" si="80"/>
        <v>560.9375</v>
      </c>
      <c r="AZ64" s="7">
        <f t="shared" si="90"/>
        <v>17389.0625</v>
      </c>
      <c r="BA64" s="10">
        <f t="shared" si="2"/>
        <v>31</v>
      </c>
      <c r="BB64" s="14">
        <v>15000</v>
      </c>
      <c r="BC64" s="10">
        <f t="shared" si="81"/>
        <v>15500</v>
      </c>
      <c r="BD64" s="10">
        <f t="shared" si="88"/>
        <v>1302</v>
      </c>
      <c r="BE64" s="10">
        <f t="shared" si="88"/>
        <v>110.4375</v>
      </c>
      <c r="BF64" s="10">
        <f t="shared" si="56"/>
        <v>14087.5625</v>
      </c>
      <c r="BG64" s="12">
        <f t="shared" si="91"/>
        <v>0</v>
      </c>
      <c r="BH64" s="13">
        <f t="shared" si="42"/>
        <v>14087.5625</v>
      </c>
      <c r="BI64" s="9">
        <v>0</v>
      </c>
      <c r="BJ64" s="10"/>
      <c r="BK64" s="10"/>
      <c r="BL64" s="10">
        <f t="shared" si="57"/>
        <v>0</v>
      </c>
      <c r="BM64" s="10">
        <f t="shared" si="8"/>
        <v>10850</v>
      </c>
      <c r="BN64" s="10">
        <f t="shared" si="9"/>
        <v>2325</v>
      </c>
      <c r="BO64" s="10">
        <f t="shared" si="10"/>
        <v>1550</v>
      </c>
      <c r="BP64" s="10">
        <f t="shared" si="11"/>
        <v>775</v>
      </c>
      <c r="BQ64" s="10">
        <f t="shared" si="89"/>
        <v>1302</v>
      </c>
      <c r="BR64" s="10">
        <f t="shared" si="75"/>
        <v>110.4375</v>
      </c>
      <c r="BS64" s="10">
        <f t="shared" si="76"/>
        <v>1412.4375</v>
      </c>
      <c r="BT64" s="10">
        <f t="shared" si="77"/>
        <v>1410.5</v>
      </c>
      <c r="BU64" s="10">
        <f t="shared" si="72"/>
        <v>478.5625</v>
      </c>
      <c r="BV64" s="10">
        <f t="shared" ref="BV64:BV70" si="93">SUM(BT64+BU64)</f>
        <v>1889.0625</v>
      </c>
    </row>
    <row r="65" spans="1:74">
      <c r="A65" s="26">
        <v>64</v>
      </c>
      <c r="B65" s="21" t="s">
        <v>43</v>
      </c>
      <c r="C65" s="21" t="s">
        <v>18</v>
      </c>
      <c r="D65" s="21" t="s">
        <v>67</v>
      </c>
      <c r="E65" s="27">
        <v>101990503683</v>
      </c>
      <c r="F65" s="27"/>
      <c r="G65" s="27" t="s">
        <v>62</v>
      </c>
      <c r="H65" s="32" t="s">
        <v>184</v>
      </c>
      <c r="I65" s="21" t="s">
        <v>64</v>
      </c>
      <c r="J65" s="21" t="s">
        <v>65</v>
      </c>
      <c r="K65" s="28" t="s">
        <v>185</v>
      </c>
      <c r="L65" s="28" t="s">
        <v>197</v>
      </c>
      <c r="M65" s="15"/>
      <c r="N65" s="6"/>
      <c r="O65" s="10"/>
      <c r="P65" s="6"/>
      <c r="Q65" s="10"/>
      <c r="R65" s="6"/>
      <c r="S65" s="10"/>
      <c r="T65" s="6"/>
      <c r="U65" s="10"/>
      <c r="V65" s="6"/>
      <c r="W65" s="10"/>
      <c r="X65" s="6"/>
      <c r="Y65" s="10"/>
      <c r="Z65" s="6"/>
      <c r="AA65" s="10"/>
      <c r="AB65" s="6"/>
      <c r="AC65" s="10"/>
      <c r="AD65" s="6"/>
      <c r="AE65" s="10"/>
      <c r="AF65" s="6"/>
      <c r="AG65" s="10"/>
      <c r="AH65" s="6"/>
      <c r="AI65" s="10"/>
      <c r="AJ65" s="6"/>
      <c r="AK65" s="10"/>
      <c r="AL65" s="6"/>
      <c r="AM65" s="10">
        <f>30-1+1</f>
        <v>30</v>
      </c>
      <c r="AN65" s="6"/>
      <c r="AO65" s="10"/>
      <c r="AP65" s="6"/>
      <c r="AQ65" s="10"/>
      <c r="AR65" s="6"/>
      <c r="AS65" s="10"/>
      <c r="AT65" s="6"/>
      <c r="AU65" s="6"/>
      <c r="AV65" s="8"/>
      <c r="AW65" s="10"/>
      <c r="AX65" s="8">
        <f t="shared" si="59"/>
        <v>0</v>
      </c>
      <c r="AY65" s="7">
        <f t="shared" si="80"/>
        <v>635.72916666666663</v>
      </c>
      <c r="AZ65" s="7">
        <f t="shared" si="90"/>
        <v>19071.875</v>
      </c>
      <c r="BA65" s="10">
        <f t="shared" si="2"/>
        <v>30</v>
      </c>
      <c r="BB65" s="14">
        <f>16500+500</f>
        <v>17000</v>
      </c>
      <c r="BC65" s="10">
        <f t="shared" si="81"/>
        <v>17000</v>
      </c>
      <c r="BD65" s="10">
        <f t="shared" si="88"/>
        <v>1428</v>
      </c>
      <c r="BE65" s="10">
        <f t="shared" si="88"/>
        <v>121.125</v>
      </c>
      <c r="BF65" s="10">
        <f t="shared" si="56"/>
        <v>15450.875</v>
      </c>
      <c r="BG65" s="12">
        <f t="shared" si="91"/>
        <v>0</v>
      </c>
      <c r="BH65" s="13">
        <f t="shared" si="42"/>
        <v>15450.875</v>
      </c>
      <c r="BI65" s="9">
        <v>0</v>
      </c>
      <c r="BJ65" s="10"/>
      <c r="BK65" s="10"/>
      <c r="BL65" s="10">
        <f t="shared" si="57"/>
        <v>0</v>
      </c>
      <c r="BM65" s="10">
        <f t="shared" si="8"/>
        <v>11900</v>
      </c>
      <c r="BN65" s="10">
        <f t="shared" si="9"/>
        <v>2550</v>
      </c>
      <c r="BO65" s="10">
        <f t="shared" si="10"/>
        <v>1700</v>
      </c>
      <c r="BP65" s="10">
        <f t="shared" si="11"/>
        <v>850</v>
      </c>
      <c r="BQ65" s="10">
        <f t="shared" si="89"/>
        <v>1428</v>
      </c>
      <c r="BR65" s="10">
        <f t="shared" si="75"/>
        <v>121.125</v>
      </c>
      <c r="BS65" s="10">
        <f t="shared" si="76"/>
        <v>1549.125</v>
      </c>
      <c r="BT65" s="10">
        <f t="shared" si="77"/>
        <v>1547</v>
      </c>
      <c r="BU65" s="10">
        <f t="shared" si="72"/>
        <v>524.875</v>
      </c>
      <c r="BV65" s="10">
        <f t="shared" si="93"/>
        <v>2071.875</v>
      </c>
    </row>
    <row r="66" spans="1:74">
      <c r="A66" s="26">
        <v>65</v>
      </c>
      <c r="B66" s="21" t="s">
        <v>43</v>
      </c>
      <c r="C66" s="21" t="s">
        <v>44</v>
      </c>
      <c r="D66" s="21" t="s">
        <v>67</v>
      </c>
      <c r="E66" s="27">
        <v>101794673649</v>
      </c>
      <c r="F66" s="27"/>
      <c r="G66" s="27" t="s">
        <v>62</v>
      </c>
      <c r="H66" s="32" t="s">
        <v>186</v>
      </c>
      <c r="I66" s="37" t="s">
        <v>75</v>
      </c>
      <c r="J66" s="21" t="s">
        <v>65</v>
      </c>
      <c r="K66" s="28" t="s">
        <v>187</v>
      </c>
      <c r="L66" s="28" t="s">
        <v>197</v>
      </c>
      <c r="M66" s="15">
        <f>30-2+1</f>
        <v>29</v>
      </c>
      <c r="N66" s="6"/>
      <c r="O66" s="10"/>
      <c r="P66" s="6"/>
      <c r="Q66" s="10"/>
      <c r="R66" s="6"/>
      <c r="S66" s="10"/>
      <c r="T66" s="6"/>
      <c r="U66" s="10"/>
      <c r="V66" s="6"/>
      <c r="W66" s="10"/>
      <c r="X66" s="6"/>
      <c r="Y66" s="10"/>
      <c r="Z66" s="6"/>
      <c r="AA66" s="10"/>
      <c r="AB66" s="6"/>
      <c r="AC66" s="10"/>
      <c r="AD66" s="6"/>
      <c r="AE66" s="10"/>
      <c r="AF66" s="6"/>
      <c r="AG66" s="10"/>
      <c r="AH66" s="6"/>
      <c r="AI66" s="10"/>
      <c r="AJ66" s="6"/>
      <c r="AK66" s="10"/>
      <c r="AL66" s="6"/>
      <c r="AM66" s="10"/>
      <c r="AN66" s="6"/>
      <c r="AO66" s="10"/>
      <c r="AP66" s="6"/>
      <c r="AQ66" s="10"/>
      <c r="AR66" s="6"/>
      <c r="AS66" s="10"/>
      <c r="AT66" s="6"/>
      <c r="AU66" s="6"/>
      <c r="AV66" s="8"/>
      <c r="AW66" s="10"/>
      <c r="AX66" s="8">
        <f t="shared" si="59"/>
        <v>0</v>
      </c>
      <c r="AY66" s="7">
        <f t="shared" si="80"/>
        <v>542.23958333333326</v>
      </c>
      <c r="AZ66" s="7">
        <f t="shared" si="90"/>
        <v>15724.947916666664</v>
      </c>
      <c r="BA66" s="10">
        <f t="shared" ref="BA66:BA69" si="94">SUM(M66+O66+Q66+S66+U66+W66+Y66+AA66+AC66+AE66+AG66+AI66+AK66+AM66+AO66+AQ66+AS66+AU66+AW66)</f>
        <v>29</v>
      </c>
      <c r="BB66" s="14">
        <f>13000+1500</f>
        <v>14500</v>
      </c>
      <c r="BC66" s="10">
        <f t="shared" si="81"/>
        <v>14016.666666666666</v>
      </c>
      <c r="BD66" s="10">
        <f t="shared" si="88"/>
        <v>1177.3999999999999</v>
      </c>
      <c r="BE66" s="10">
        <f t="shared" si="88"/>
        <v>99.868749999999991</v>
      </c>
      <c r="BF66" s="10">
        <f t="shared" si="56"/>
        <v>12739.397916666667</v>
      </c>
      <c r="BG66" s="12">
        <f t="shared" si="91"/>
        <v>0</v>
      </c>
      <c r="BH66" s="13">
        <f t="shared" si="42"/>
        <v>12739.397916666667</v>
      </c>
      <c r="BI66" s="9">
        <v>0</v>
      </c>
      <c r="BJ66" s="10"/>
      <c r="BK66" s="10"/>
      <c r="BL66" s="10">
        <f t="shared" si="57"/>
        <v>0</v>
      </c>
      <c r="BM66" s="10">
        <f t="shared" ref="BM66:BM70" si="95">IF(BC66*70%&lt;15000,BC66*70%,15000)</f>
        <v>9811.6666666666661</v>
      </c>
      <c r="BN66" s="10">
        <f t="shared" ref="BN66:BN70" si="96">BC66*15%</f>
        <v>2102.5</v>
      </c>
      <c r="BO66" s="10">
        <f t="shared" ref="BO66:BO70" si="97">BC66*10%</f>
        <v>1401.6666666666667</v>
      </c>
      <c r="BP66" s="10">
        <f t="shared" ref="BP66:BP70" si="98">BC66*5%</f>
        <v>700.83333333333337</v>
      </c>
      <c r="BQ66" s="10">
        <f t="shared" si="89"/>
        <v>1177.3999999999999</v>
      </c>
      <c r="BR66" s="10">
        <f t="shared" si="75"/>
        <v>99.868749999999991</v>
      </c>
      <c r="BS66" s="10">
        <f t="shared" si="76"/>
        <v>1277.26875</v>
      </c>
      <c r="BT66" s="10">
        <f t="shared" si="77"/>
        <v>1275.5166666666667</v>
      </c>
      <c r="BU66" s="10">
        <f t="shared" si="72"/>
        <v>432.76458333333329</v>
      </c>
      <c r="BV66" s="10">
        <f t="shared" si="93"/>
        <v>1708.28125</v>
      </c>
    </row>
    <row r="67" spans="1:74">
      <c r="A67" s="21">
        <v>66</v>
      </c>
      <c r="B67" s="21" t="s">
        <v>43</v>
      </c>
      <c r="C67" s="21" t="s">
        <v>19</v>
      </c>
      <c r="D67" s="21" t="s">
        <v>8</v>
      </c>
      <c r="E67" s="27"/>
      <c r="F67" s="27"/>
      <c r="G67" s="27" t="s">
        <v>62</v>
      </c>
      <c r="H67" s="32" t="s">
        <v>188</v>
      </c>
      <c r="I67" s="21" t="s">
        <v>75</v>
      </c>
      <c r="J67" s="21" t="s">
        <v>71</v>
      </c>
      <c r="K67" s="28" t="s">
        <v>189</v>
      </c>
      <c r="L67" s="28" t="s">
        <v>197</v>
      </c>
      <c r="M67" s="5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>
        <f>30+1</f>
        <v>31</v>
      </c>
      <c r="AP67" s="6"/>
      <c r="AQ67" s="7"/>
      <c r="AR67" s="6"/>
      <c r="AS67" s="7"/>
      <c r="AT67" s="6"/>
      <c r="AU67" s="6"/>
      <c r="AV67" s="8"/>
      <c r="AW67" s="7"/>
      <c r="AX67" s="8">
        <f t="shared" si="59"/>
        <v>0</v>
      </c>
      <c r="AY67" s="7">
        <f t="shared" si="80"/>
        <v>579.63541666666663</v>
      </c>
      <c r="AZ67" s="7">
        <f t="shared" si="90"/>
        <v>17968.697916666664</v>
      </c>
      <c r="BA67" s="10">
        <f t="shared" si="94"/>
        <v>31</v>
      </c>
      <c r="BB67" s="11">
        <f>14000+1500</f>
        <v>15500</v>
      </c>
      <c r="BC67" s="10">
        <f t="shared" si="81"/>
        <v>16016.666666666666</v>
      </c>
      <c r="BD67" s="10">
        <f>SUM(BB67*70%)*12%</f>
        <v>1302</v>
      </c>
      <c r="BE67" s="10">
        <f>SUM(BB67*0.75%)</f>
        <v>116.25</v>
      </c>
      <c r="BF67" s="10">
        <f t="shared" si="56"/>
        <v>14598.416666666666</v>
      </c>
      <c r="BG67" s="12">
        <f t="shared" si="91"/>
        <v>0</v>
      </c>
      <c r="BH67" s="13">
        <f t="shared" si="42"/>
        <v>14598.416666666666</v>
      </c>
      <c r="BI67" s="9">
        <v>0</v>
      </c>
      <c r="BJ67" s="10"/>
      <c r="BK67" s="10"/>
      <c r="BL67" s="10">
        <f t="shared" si="57"/>
        <v>0</v>
      </c>
      <c r="BM67" s="10">
        <f t="shared" si="95"/>
        <v>11211.666666666666</v>
      </c>
      <c r="BN67" s="10">
        <f t="shared" si="96"/>
        <v>2402.5</v>
      </c>
      <c r="BO67" s="10">
        <f t="shared" si="97"/>
        <v>1601.6666666666667</v>
      </c>
      <c r="BP67" s="10">
        <f t="shared" si="98"/>
        <v>800.83333333333337</v>
      </c>
      <c r="BQ67" s="10">
        <f t="shared" si="89"/>
        <v>1345.3999999999999</v>
      </c>
      <c r="BR67" s="10">
        <f t="shared" si="75"/>
        <v>114.11874999999999</v>
      </c>
      <c r="BS67" s="10">
        <f t="shared" si="76"/>
        <v>1459.51875</v>
      </c>
      <c r="BT67" s="10">
        <f t="shared" si="77"/>
        <v>1457.5166666666667</v>
      </c>
      <c r="BU67" s="10">
        <f t="shared" si="72"/>
        <v>494.51458333333329</v>
      </c>
      <c r="BV67" s="10">
        <f t="shared" si="93"/>
        <v>1952.03125</v>
      </c>
    </row>
    <row r="68" spans="1:74">
      <c r="A68" s="26">
        <v>67</v>
      </c>
      <c r="B68" s="21" t="s">
        <v>43</v>
      </c>
      <c r="C68" s="21" t="s">
        <v>13</v>
      </c>
      <c r="D68" s="21" t="s">
        <v>61</v>
      </c>
      <c r="E68" s="27">
        <v>101549416563</v>
      </c>
      <c r="F68" s="27"/>
      <c r="G68" s="27" t="s">
        <v>62</v>
      </c>
      <c r="H68" s="29" t="s">
        <v>190</v>
      </c>
      <c r="I68" s="21" t="s">
        <v>64</v>
      </c>
      <c r="J68" s="21" t="s">
        <v>65</v>
      </c>
      <c r="K68" s="28" t="s">
        <v>191</v>
      </c>
      <c r="L68" s="28" t="s">
        <v>197</v>
      </c>
      <c r="M68" s="5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>
        <f>30-1+1</f>
        <v>30</v>
      </c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6"/>
      <c r="AV68" s="8"/>
      <c r="AW68" s="7"/>
      <c r="AX68" s="8">
        <f t="shared" si="59"/>
        <v>0</v>
      </c>
      <c r="AY68" s="7">
        <f t="shared" ref="AY68:AY70" si="99">SUM(BC68+BV68)/BA68</f>
        <v>673.125</v>
      </c>
      <c r="AZ68" s="7">
        <f t="shared" si="90"/>
        <v>20193.75</v>
      </c>
      <c r="BA68" s="10">
        <f t="shared" si="94"/>
        <v>30</v>
      </c>
      <c r="BB68" s="11">
        <f>17000+1000</f>
        <v>18000</v>
      </c>
      <c r="BC68" s="10">
        <f t="shared" si="81"/>
        <v>18000</v>
      </c>
      <c r="BD68" s="10">
        <f>SUM(BB68*70%)*12%</f>
        <v>1512</v>
      </c>
      <c r="BE68" s="10">
        <f>SUM(BB68*0.75%)</f>
        <v>135</v>
      </c>
      <c r="BF68" s="10">
        <f t="shared" si="56"/>
        <v>16353</v>
      </c>
      <c r="BG68" s="12">
        <f t="shared" si="91"/>
        <v>0</v>
      </c>
      <c r="BH68" s="13">
        <f t="shared" si="42"/>
        <v>16353</v>
      </c>
      <c r="BI68" s="9">
        <v>0</v>
      </c>
      <c r="BJ68" s="10"/>
      <c r="BK68" s="10"/>
      <c r="BL68" s="10">
        <f t="shared" si="57"/>
        <v>0</v>
      </c>
      <c r="BM68" s="10">
        <f t="shared" si="95"/>
        <v>12600</v>
      </c>
      <c r="BN68" s="10">
        <f t="shared" si="96"/>
        <v>2700</v>
      </c>
      <c r="BO68" s="10">
        <f t="shared" si="97"/>
        <v>1800</v>
      </c>
      <c r="BP68" s="10">
        <f t="shared" si="98"/>
        <v>900</v>
      </c>
      <c r="BQ68" s="10">
        <f t="shared" si="89"/>
        <v>1512</v>
      </c>
      <c r="BR68" s="10">
        <f t="shared" si="75"/>
        <v>128.25</v>
      </c>
      <c r="BS68" s="10">
        <f t="shared" si="76"/>
        <v>1640.25</v>
      </c>
      <c r="BT68" s="10">
        <f t="shared" si="77"/>
        <v>1638</v>
      </c>
      <c r="BU68" s="10">
        <f t="shared" si="72"/>
        <v>555.75</v>
      </c>
      <c r="BV68" s="10">
        <f t="shared" si="93"/>
        <v>2193.75</v>
      </c>
    </row>
    <row r="69" spans="1:74">
      <c r="A69" s="26">
        <v>68</v>
      </c>
      <c r="B69" s="21" t="s">
        <v>43</v>
      </c>
      <c r="C69" s="21" t="s">
        <v>21</v>
      </c>
      <c r="D69" s="26" t="s">
        <v>67</v>
      </c>
      <c r="E69" s="27">
        <v>102172033706</v>
      </c>
      <c r="F69" s="27"/>
      <c r="G69" s="27" t="s">
        <v>62</v>
      </c>
      <c r="H69" s="29" t="s">
        <v>192</v>
      </c>
      <c r="I69" s="26" t="s">
        <v>75</v>
      </c>
      <c r="J69" s="26" t="s">
        <v>71</v>
      </c>
      <c r="K69" s="28" t="s">
        <v>193</v>
      </c>
      <c r="L69" s="28" t="s">
        <v>197</v>
      </c>
      <c r="M69" s="5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>
        <f>30+1</f>
        <v>31</v>
      </c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6"/>
      <c r="AV69" s="8"/>
      <c r="AW69" s="7"/>
      <c r="AX69" s="8">
        <f t="shared" si="59"/>
        <v>0</v>
      </c>
      <c r="AY69" s="7">
        <f t="shared" si="99"/>
        <v>523.54166666666674</v>
      </c>
      <c r="AZ69" s="7">
        <f t="shared" si="90"/>
        <v>16229.79166666667</v>
      </c>
      <c r="BA69" s="10">
        <f t="shared" si="94"/>
        <v>31</v>
      </c>
      <c r="BB69" s="11">
        <f>11000+1500+1500</f>
        <v>14000</v>
      </c>
      <c r="BC69" s="10">
        <f t="shared" si="81"/>
        <v>14466.666666666668</v>
      </c>
      <c r="BD69" s="10">
        <f t="shared" ref="BD69:BE69" si="100">BQ69</f>
        <v>1215.1999999999998</v>
      </c>
      <c r="BE69" s="10">
        <f t="shared" si="100"/>
        <v>103.07499999999999</v>
      </c>
      <c r="BF69" s="10">
        <f t="shared" si="56"/>
        <v>13148.391666666666</v>
      </c>
      <c r="BG69" s="12">
        <f t="shared" si="91"/>
        <v>0</v>
      </c>
      <c r="BH69" s="13">
        <f t="shared" ref="BH69:BH70" si="101">SUM(BF69-BG69)</f>
        <v>13148.391666666666</v>
      </c>
      <c r="BI69" s="9">
        <v>0</v>
      </c>
      <c r="BJ69" s="7"/>
      <c r="BK69" s="7"/>
      <c r="BL69" s="10">
        <f t="shared" si="57"/>
        <v>0</v>
      </c>
      <c r="BM69" s="10">
        <f t="shared" si="95"/>
        <v>10126.666666666666</v>
      </c>
      <c r="BN69" s="10">
        <f t="shared" si="96"/>
        <v>2170</v>
      </c>
      <c r="BO69" s="10">
        <f t="shared" si="97"/>
        <v>1446.666666666667</v>
      </c>
      <c r="BP69" s="10">
        <f t="shared" si="98"/>
        <v>723.33333333333348</v>
      </c>
      <c r="BQ69" s="10">
        <f t="shared" si="89"/>
        <v>1215.1999999999998</v>
      </c>
      <c r="BR69" s="10">
        <f t="shared" si="75"/>
        <v>103.07499999999999</v>
      </c>
      <c r="BS69" s="10">
        <f t="shared" si="76"/>
        <v>1318.2749999999999</v>
      </c>
      <c r="BT69" s="10">
        <f t="shared" si="77"/>
        <v>1316.4666666666667</v>
      </c>
      <c r="BU69" s="10">
        <f t="shared" si="72"/>
        <v>446.6583333333333</v>
      </c>
      <c r="BV69" s="10">
        <f t="shared" si="93"/>
        <v>1763.125</v>
      </c>
    </row>
    <row r="70" spans="1:74">
      <c r="A70" s="26">
        <v>69</v>
      </c>
      <c r="B70" s="21" t="s">
        <v>43</v>
      </c>
      <c r="C70" s="21" t="s">
        <v>44</v>
      </c>
      <c r="D70" s="21" t="s">
        <v>61</v>
      </c>
      <c r="E70" s="27">
        <v>100017070099</v>
      </c>
      <c r="F70" s="27"/>
      <c r="G70" s="27" t="s">
        <v>62</v>
      </c>
      <c r="H70" s="29" t="s">
        <v>194</v>
      </c>
      <c r="I70" s="21" t="s">
        <v>64</v>
      </c>
      <c r="J70" s="21" t="s">
        <v>65</v>
      </c>
      <c r="K70" s="28" t="s">
        <v>195</v>
      </c>
      <c r="L70" s="28" t="s">
        <v>199</v>
      </c>
      <c r="M70" s="5">
        <f>30+1</f>
        <v>31</v>
      </c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6"/>
      <c r="AV70" s="8"/>
      <c r="AW70" s="7"/>
      <c r="AX70" s="8">
        <f t="shared" si="59"/>
        <v>0</v>
      </c>
      <c r="AY70" s="7">
        <f t="shared" si="99"/>
        <v>1196.2365591397847</v>
      </c>
      <c r="AZ70" s="7">
        <f t="shared" si="90"/>
        <v>37083.333333333328</v>
      </c>
      <c r="BA70" s="10">
        <f>SUM(M70+O70+Q70+S70+U70+W70+Y70+AA70+AC70+AE70+AG70+AI70+AK70+AM70+AO70+AQ70+AS70+AU70+AW70)</f>
        <v>31</v>
      </c>
      <c r="BB70" s="11">
        <f>32000+2000</f>
        <v>34000</v>
      </c>
      <c r="BC70" s="10">
        <f t="shared" si="81"/>
        <v>35133.333333333328</v>
      </c>
      <c r="BD70" s="10">
        <v>1800</v>
      </c>
      <c r="BE70" s="10"/>
      <c r="BF70" s="10">
        <f t="shared" si="56"/>
        <v>33333.333333333328</v>
      </c>
      <c r="BG70" s="12">
        <f t="shared" si="91"/>
        <v>0</v>
      </c>
      <c r="BH70" s="13">
        <f t="shared" si="101"/>
        <v>33333.333333333328</v>
      </c>
      <c r="BI70" s="9">
        <v>0</v>
      </c>
      <c r="BJ70" s="10"/>
      <c r="BK70" s="10"/>
      <c r="BL70" s="10">
        <f t="shared" si="57"/>
        <v>0</v>
      </c>
      <c r="BM70" s="10">
        <f t="shared" si="95"/>
        <v>15000</v>
      </c>
      <c r="BN70" s="10">
        <f t="shared" si="96"/>
        <v>5269.9999999999991</v>
      </c>
      <c r="BO70" s="10">
        <f t="shared" si="97"/>
        <v>3513.333333333333</v>
      </c>
      <c r="BP70" s="10">
        <f t="shared" si="98"/>
        <v>1756.6666666666665</v>
      </c>
      <c r="BQ70" s="10">
        <f t="shared" si="89"/>
        <v>1800</v>
      </c>
      <c r="BR70" s="10">
        <f t="shared" si="75"/>
        <v>0</v>
      </c>
      <c r="BS70" s="10">
        <f t="shared" si="76"/>
        <v>1800</v>
      </c>
      <c r="BT70" s="10">
        <f t="shared" si="77"/>
        <v>1950</v>
      </c>
      <c r="BU70" s="10">
        <f t="shared" si="72"/>
        <v>0</v>
      </c>
      <c r="BV70" s="10">
        <f t="shared" si="93"/>
        <v>1950</v>
      </c>
    </row>
  </sheetData>
  <conditionalFormatting sqref="E1:F3 E5:F17 E19:F19 E21:F24 F25 E26:F28 E30:F38 E41:F47 J49 E50:F50 E52:F61 E62 E63:F70">
    <cfRule type="duplicateValues" dxfId="22" priority="23"/>
  </conditionalFormatting>
  <conditionalFormatting sqref="E1:F3 E5:F7 E9:F9 E11:F11 E13:F14 E16:F17 E19:F19 E22:F22 E24:F24 F25 E27:F28 E30:F31 E34:F38 E41:F43 E45:F47 J49 E50:F50 E52:F55 E57:F61 E62 E63:F70">
    <cfRule type="duplicateValues" dxfId="21" priority="22"/>
  </conditionalFormatting>
  <conditionalFormatting sqref="H1:H70">
    <cfRule type="duplicateValues" dxfId="20" priority="21"/>
  </conditionalFormatting>
  <conditionalFormatting sqref="E4:F4">
    <cfRule type="duplicateValues" dxfId="19" priority="20"/>
  </conditionalFormatting>
  <conditionalFormatting sqref="E8:F8">
    <cfRule type="duplicateValues" dxfId="18" priority="19"/>
  </conditionalFormatting>
  <conditionalFormatting sqref="E12:F12">
    <cfRule type="duplicateValues" dxfId="17" priority="18"/>
  </conditionalFormatting>
  <conditionalFormatting sqref="E15:F15">
    <cfRule type="duplicateValues" dxfId="16" priority="17"/>
  </conditionalFormatting>
  <conditionalFormatting sqref="E18:F18">
    <cfRule type="duplicateValues" dxfId="15" priority="16"/>
  </conditionalFormatting>
  <conditionalFormatting sqref="E20:F20">
    <cfRule type="duplicateValues" dxfId="14" priority="15"/>
  </conditionalFormatting>
  <conditionalFormatting sqref="E21:F21">
    <cfRule type="duplicateValues" dxfId="13" priority="14"/>
  </conditionalFormatting>
  <conditionalFormatting sqref="E23:F23">
    <cfRule type="duplicateValues" dxfId="12" priority="13"/>
  </conditionalFormatting>
  <conditionalFormatting sqref="E25">
    <cfRule type="duplicateValues" dxfId="11" priority="12"/>
  </conditionalFormatting>
  <conditionalFormatting sqref="E29:F29">
    <cfRule type="duplicateValues" dxfId="10" priority="11"/>
  </conditionalFormatting>
  <conditionalFormatting sqref="E33:F33">
    <cfRule type="duplicateValues" dxfId="9" priority="9"/>
  </conditionalFormatting>
  <conditionalFormatting sqref="E39:F39">
    <cfRule type="duplicateValues" dxfId="8" priority="8"/>
  </conditionalFormatting>
  <conditionalFormatting sqref="E40:F40">
    <cfRule type="duplicateValues" dxfId="7" priority="7"/>
  </conditionalFormatting>
  <conditionalFormatting sqref="E44:F44">
    <cfRule type="duplicateValues" dxfId="6" priority="6"/>
  </conditionalFormatting>
  <conditionalFormatting sqref="E48">
    <cfRule type="duplicateValues" dxfId="5" priority="5"/>
  </conditionalFormatting>
  <conditionalFormatting sqref="F48">
    <cfRule type="duplicateValues" dxfId="4" priority="4"/>
  </conditionalFormatting>
  <conditionalFormatting sqref="E51:F51">
    <cfRule type="duplicateValues" dxfId="3" priority="3"/>
  </conditionalFormatting>
  <conditionalFormatting sqref="E56:F56">
    <cfRule type="duplicateValues" dxfId="2" priority="2"/>
  </conditionalFormatting>
  <conditionalFormatting sqref="F62">
    <cfRule type="duplicateValues" dxfId="1" priority="1"/>
  </conditionalFormatting>
  <conditionalFormatting sqref="J29">
    <cfRule type="duplicateValues" dxfId="0" priority="6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2025-12-23T05:07:15Z</dcterms:created>
  <dcterms:modified xsi:type="dcterms:W3CDTF">2025-12-23T05:16:26Z</dcterms:modified>
</cp:coreProperties>
</file>